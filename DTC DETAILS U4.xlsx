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Office PC\D DRIVE\ESTIMATES\SLD TOOL\"/>
    </mc:Choice>
  </mc:AlternateContent>
  <xr:revisionPtr revIDLastSave="0" documentId="13_ncr:1_{0F6A423D-4AC3-4A06-91D3-0879ECCF93FC}" xr6:coauthVersionLast="47" xr6:coauthVersionMax="47" xr10:uidLastSave="{00000000-0000-0000-0000-000000000000}"/>
  <bookViews>
    <workbookView xWindow="-120" yWindow="-120" windowWidth="24240" windowHeight="13020" tabRatio="610" activeTab="1" xr2:uid="{00000000-000D-0000-FFFF-FFFF00000000}"/>
  </bookViews>
  <sheets>
    <sheet name="HT" sheetId="6" r:id="rId1"/>
    <sheet name="ALL" sheetId="10" r:id="rId2"/>
    <sheet name="NON DTC NODES" sheetId="14" r:id="rId3"/>
  </sheets>
  <externalReferences>
    <externalReference r:id="rId4"/>
  </externalReferences>
  <definedNames>
    <definedName name="_xlnm._FilterDatabase" localSheetId="1" hidden="1">ALL!$A$1:$AC$120</definedName>
    <definedName name="_xlnm._FilterDatabase" localSheetId="0" hidden="1">HT!$A$2:$K$2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AF106" i="10"/>
  <c r="AF107" i="10"/>
  <c r="AF108" i="10"/>
  <c r="AF109" i="10"/>
  <c r="AF110" i="10"/>
  <c r="AF111" i="10"/>
  <c r="AF112" i="10"/>
  <c r="AF113" i="10"/>
  <c r="AF114" i="10"/>
  <c r="J114" i="10"/>
  <c r="J107" i="10"/>
  <c r="J108" i="10"/>
  <c r="J109" i="10"/>
  <c r="J110" i="10"/>
  <c r="J111" i="10"/>
  <c r="J112" i="10"/>
  <c r="J113" i="10"/>
  <c r="L107" i="10"/>
  <c r="L106" i="10"/>
  <c r="J106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15" i="10"/>
  <c r="D116" i="10"/>
  <c r="D117" i="10"/>
  <c r="D118" i="10"/>
  <c r="D119" i="10"/>
  <c r="D120" i="10"/>
  <c r="D2" i="10"/>
  <c r="AU12" i="10"/>
  <c r="AF105" i="10"/>
  <c r="L105" i="10"/>
  <c r="J105" i="10"/>
  <c r="AU11" i="10"/>
  <c r="L103" i="10"/>
  <c r="L104" i="10"/>
  <c r="J104" i="10"/>
  <c r="AF104" i="10"/>
  <c r="AF103" i="10"/>
  <c r="AF73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34" i="10"/>
  <c r="AF53" i="10"/>
  <c r="AF54" i="10"/>
  <c r="AF55" i="10"/>
  <c r="AF56" i="10"/>
  <c r="AF74" i="10"/>
  <c r="AF3" i="10"/>
  <c r="AF4" i="10"/>
  <c r="AF6" i="10"/>
  <c r="AF7" i="10"/>
  <c r="AF8" i="10"/>
  <c r="AF9" i="10"/>
  <c r="AF10" i="10"/>
  <c r="AF11" i="10"/>
  <c r="AF12" i="10"/>
  <c r="AF18" i="10"/>
  <c r="AF19" i="10"/>
  <c r="AF20" i="10"/>
  <c r="AF21" i="10"/>
  <c r="AF22" i="10"/>
  <c r="AF23" i="10"/>
  <c r="AF24" i="10"/>
  <c r="AF25" i="10"/>
  <c r="AF26" i="10"/>
  <c r="AF27" i="10"/>
  <c r="AF29" i="10"/>
  <c r="AF30" i="10"/>
  <c r="AF31" i="10"/>
  <c r="AF32" i="10"/>
  <c r="AF33" i="10"/>
  <c r="AF35" i="10"/>
  <c r="AF36" i="10"/>
  <c r="AF38" i="10"/>
  <c r="AF39" i="10"/>
  <c r="AF40" i="10"/>
  <c r="AF41" i="10"/>
  <c r="AF42" i="10"/>
  <c r="AF43" i="10"/>
  <c r="AF44" i="10"/>
  <c r="AF45" i="10"/>
  <c r="AF46" i="10"/>
  <c r="AF47" i="10"/>
  <c r="AF49" i="10"/>
  <c r="AF50" i="10"/>
  <c r="AF51" i="10"/>
  <c r="AF52" i="10"/>
  <c r="AF58" i="10"/>
  <c r="AF59" i="10"/>
  <c r="AF60" i="10"/>
  <c r="AF61" i="10"/>
  <c r="AF62" i="10"/>
  <c r="AF63" i="10"/>
  <c r="AF64" i="10"/>
  <c r="AF65" i="10"/>
  <c r="AF66" i="10"/>
  <c r="AF67" i="10"/>
  <c r="AF69" i="10"/>
  <c r="AF70" i="10"/>
  <c r="AF71" i="10"/>
  <c r="AF72" i="10"/>
  <c r="AF75" i="10"/>
  <c r="AF76" i="10"/>
  <c r="AF78" i="10"/>
  <c r="AF79" i="10"/>
  <c r="AF80" i="10"/>
  <c r="AF81" i="10"/>
  <c r="AF82" i="10"/>
  <c r="AF83" i="10"/>
  <c r="AF84" i="10"/>
  <c r="AF85" i="10"/>
  <c r="AF86" i="10"/>
  <c r="AF68" i="10" l="1"/>
  <c r="AF48" i="10"/>
  <c r="AF28" i="10"/>
  <c r="AF5" i="10"/>
  <c r="AF77" i="10"/>
  <c r="AF17" i="10"/>
  <c r="AF16" i="10"/>
  <c r="AF37" i="10"/>
  <c r="AF15" i="10"/>
  <c r="AF14" i="10"/>
  <c r="AF57" i="10"/>
  <c r="AF13" i="10"/>
  <c r="AF2" i="10"/>
  <c r="X2" i="10"/>
  <c r="L11" i="10"/>
  <c r="X7" i="10" l="1"/>
  <c r="X61" i="10"/>
  <c r="X76" i="10"/>
  <c r="X86" i="10"/>
  <c r="X10" i="10"/>
  <c r="X11" i="10"/>
  <c r="X14" i="10"/>
  <c r="X28" i="10"/>
  <c r="X29" i="10"/>
  <c r="X30" i="10"/>
  <c r="X34" i="10"/>
  <c r="X48" i="10"/>
  <c r="X49" i="10"/>
  <c r="X54" i="10"/>
  <c r="X68" i="10"/>
  <c r="X69" i="10"/>
  <c r="X70" i="10"/>
  <c r="X74" i="10"/>
  <c r="X80" i="10"/>
  <c r="AV11" i="10"/>
  <c r="J103" i="10"/>
  <c r="J2" i="10"/>
  <c r="L3" i="10"/>
  <c r="L4" i="10"/>
  <c r="L5" i="10"/>
  <c r="L6" i="10"/>
  <c r="L7" i="10"/>
  <c r="L8" i="10"/>
  <c r="L9" i="10"/>
  <c r="L10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15" i="10"/>
  <c r="L116" i="10"/>
  <c r="L117" i="10"/>
  <c r="L118" i="10"/>
  <c r="L119" i="10"/>
  <c r="L120" i="10"/>
  <c r="L2" i="10"/>
  <c r="M6" i="6"/>
  <c r="M7" i="6"/>
  <c r="M4" i="6"/>
  <c r="M5" i="6"/>
  <c r="M3" i="6"/>
  <c r="J115" i="10"/>
  <c r="J116" i="10"/>
  <c r="J117" i="10"/>
  <c r="J118" i="10"/>
  <c r="J119" i="10"/>
  <c r="J120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H8" i="6"/>
  <c r="AQ11" i="10"/>
  <c r="AQ12" i="10"/>
  <c r="AQ13" i="10"/>
  <c r="AQ14" i="10"/>
  <c r="AL15" i="10"/>
  <c r="AM15" i="10"/>
  <c r="AN15" i="10"/>
  <c r="AO15" i="10"/>
  <c r="AP15" i="10"/>
  <c r="AW11" i="10"/>
  <c r="AX11" i="10"/>
  <c r="AY11" i="10"/>
  <c r="AV12" i="10"/>
  <c r="AW12" i="10"/>
  <c r="AX12" i="10"/>
  <c r="AY12" i="10"/>
  <c r="AU13" i="10"/>
  <c r="AV13" i="10"/>
  <c r="AW13" i="10"/>
  <c r="AX13" i="10"/>
  <c r="AY13" i="10"/>
  <c r="AU14" i="10"/>
  <c r="AV14" i="10"/>
  <c r="AW14" i="10"/>
  <c r="AX14" i="10"/>
  <c r="AY14" i="10"/>
  <c r="X8" i="10" l="1"/>
  <c r="X75" i="10"/>
  <c r="X55" i="10"/>
  <c r="X35" i="10"/>
  <c r="X15" i="10"/>
  <c r="X103" i="10"/>
  <c r="X83" i="10"/>
  <c r="X63" i="10"/>
  <c r="X43" i="10"/>
  <c r="X23" i="10"/>
  <c r="X82" i="10"/>
  <c r="X62" i="10"/>
  <c r="X42" i="10"/>
  <c r="X22" i="10"/>
  <c r="X53" i="10"/>
  <c r="X33" i="10"/>
  <c r="X81" i="10"/>
  <c r="X41" i="10"/>
  <c r="X21" i="10"/>
  <c r="X72" i="10"/>
  <c r="X52" i="10"/>
  <c r="X32" i="10"/>
  <c r="X12" i="10"/>
  <c r="X60" i="10"/>
  <c r="X40" i="10"/>
  <c r="X92" i="10"/>
  <c r="X71" i="10"/>
  <c r="X51" i="10"/>
  <c r="X31" i="10"/>
  <c r="X9" i="10"/>
  <c r="X6" i="10"/>
  <c r="X5" i="10"/>
  <c r="X13" i="10"/>
  <c r="X39" i="10"/>
  <c r="X78" i="10"/>
  <c r="X58" i="10"/>
  <c r="X38" i="10"/>
  <c r="X18" i="10"/>
  <c r="X66" i="10"/>
  <c r="X46" i="10"/>
  <c r="X26" i="10"/>
  <c r="X3" i="10"/>
  <c r="X88" i="10"/>
  <c r="X79" i="10"/>
  <c r="X19" i="10"/>
  <c r="X87" i="10"/>
  <c r="X67" i="10"/>
  <c r="X4" i="10"/>
  <c r="X77" i="10"/>
  <c r="X57" i="10"/>
  <c r="X37" i="10"/>
  <c r="X17" i="10"/>
  <c r="X85" i="10"/>
  <c r="X65" i="10"/>
  <c r="X45" i="10"/>
  <c r="X25" i="10"/>
  <c r="X59" i="10"/>
  <c r="X47" i="10"/>
  <c r="X27" i="10"/>
  <c r="X56" i="10"/>
  <c r="X36" i="10"/>
  <c r="X16" i="10"/>
  <c r="X84" i="10"/>
  <c r="X64" i="10"/>
  <c r="X44" i="10"/>
  <c r="X24" i="10"/>
  <c r="X98" i="10"/>
  <c r="X73" i="10"/>
  <c r="X50" i="10"/>
  <c r="X20" i="10"/>
  <c r="X99" i="10"/>
  <c r="X96" i="10"/>
  <c r="X95" i="10"/>
  <c r="X94" i="10"/>
  <c r="X93" i="10"/>
  <c r="AZ14" i="10"/>
  <c r="AR14" i="10" s="1"/>
  <c r="AZ13" i="10"/>
  <c r="AR13" i="10" s="1"/>
  <c r="AZ11" i="10"/>
  <c r="AR11" i="10" s="1"/>
  <c r="AZ12" i="10"/>
  <c r="AR12" i="10" s="1"/>
  <c r="AQ15" i="10"/>
  <c r="AZ15" i="10" l="1"/>
  <c r="AR15" i="10" s="1"/>
</calcChain>
</file>

<file path=xl/sharedStrings.xml><?xml version="1.0" encoding="utf-8"?>
<sst xmlns="http://schemas.openxmlformats.org/spreadsheetml/2006/main" count="1485" uniqueCount="511">
  <si>
    <t>DTC_Name</t>
  </si>
  <si>
    <t>Feeder</t>
  </si>
  <si>
    <t>KVA</t>
  </si>
  <si>
    <t>SCD-1</t>
  </si>
  <si>
    <t>GANESHA TC</t>
  </si>
  <si>
    <t>MRS F1</t>
  </si>
  <si>
    <t>SCD-2</t>
  </si>
  <si>
    <t>MARIGADDIGE</t>
  </si>
  <si>
    <t>SCD-3</t>
  </si>
  <si>
    <t>SHIVAJI TC</t>
  </si>
  <si>
    <t>SCD-4</t>
  </si>
  <si>
    <t>BESTARA KERI</t>
  </si>
  <si>
    <t>SCD-5</t>
  </si>
  <si>
    <t>HAVINA KERI</t>
  </si>
  <si>
    <t>SCD-6</t>
  </si>
  <si>
    <t>HARALENNE KERI</t>
  </si>
  <si>
    <t>SCD-7</t>
  </si>
  <si>
    <t>BARMAPPA NAGARA</t>
  </si>
  <si>
    <t>SCD-8</t>
  </si>
  <si>
    <t>OLD VEGETABLE</t>
  </si>
  <si>
    <t>SCD-9</t>
  </si>
  <si>
    <t>MANJUNATHA TALKIES</t>
  </si>
  <si>
    <t>SCD-10</t>
  </si>
  <si>
    <t>KUMBARGUNDI</t>
  </si>
  <si>
    <t>SCD-11</t>
  </si>
  <si>
    <t>JPN SCHOOL</t>
  </si>
  <si>
    <t>SCD-12</t>
  </si>
  <si>
    <t>JAYANTHI</t>
  </si>
  <si>
    <t>SCD-13</t>
  </si>
  <si>
    <t>BHAVANI SINGH</t>
  </si>
  <si>
    <t>SCD-14</t>
  </si>
  <si>
    <t>HEALTH OFFICE</t>
  </si>
  <si>
    <t>SCD-15</t>
  </si>
  <si>
    <t>CHINNA BELLI</t>
  </si>
  <si>
    <t>SCD-16</t>
  </si>
  <si>
    <t>CHOR BAZAR</t>
  </si>
  <si>
    <t>SCD-17</t>
  </si>
  <si>
    <t>PANCHATARA</t>
  </si>
  <si>
    <t>SCD-18</t>
  </si>
  <si>
    <t>OT ROAD</t>
  </si>
  <si>
    <t>SCD-19</t>
  </si>
  <si>
    <t>KOTE HOSTEL</t>
  </si>
  <si>
    <t>SCD-20</t>
  </si>
  <si>
    <t>SCIENCE FIELD</t>
  </si>
  <si>
    <t>SCD-21</t>
  </si>
  <si>
    <t>ABDUL AZEEZ</t>
  </si>
  <si>
    <t>SCD-22</t>
  </si>
  <si>
    <t>SAVARKAR NAGARA</t>
  </si>
  <si>
    <t>SCD-23</t>
  </si>
  <si>
    <t>PRATHAP</t>
  </si>
  <si>
    <t>SCD-24</t>
  </si>
  <si>
    <t>POST OFFICE</t>
  </si>
  <si>
    <t>SCD-25</t>
  </si>
  <si>
    <t>H SIDDAIAH</t>
  </si>
  <si>
    <t>SCD-26</t>
  </si>
  <si>
    <t>BHOOPALAM</t>
  </si>
  <si>
    <t>SCD-27</t>
  </si>
  <si>
    <t>KATTE SRINATH</t>
  </si>
  <si>
    <t>SCD-28</t>
  </si>
  <si>
    <t>SONA HONDA</t>
  </si>
  <si>
    <t>SCD-29</t>
  </si>
  <si>
    <t>POLICE QUARTRESS</t>
  </si>
  <si>
    <t>SCD-30</t>
  </si>
  <si>
    <t>RATHAN CHAND</t>
  </si>
  <si>
    <t>SCD-31</t>
  </si>
  <si>
    <t>VINAYAKA COMPLEX</t>
  </si>
  <si>
    <t>SCD-32</t>
  </si>
  <si>
    <t>SCD-33</t>
  </si>
  <si>
    <t>KR PURAM</t>
  </si>
  <si>
    <t>SCD-34</t>
  </si>
  <si>
    <t>THIRUPALAIAH</t>
  </si>
  <si>
    <t>SCD-35</t>
  </si>
  <si>
    <t>SCD-36</t>
  </si>
  <si>
    <t>RELIANCE KUMBARGUNDI</t>
  </si>
  <si>
    <t>SCD-37</t>
  </si>
  <si>
    <t>JAMIYA MASEEDI</t>
  </si>
  <si>
    <t>SCD-38</t>
  </si>
  <si>
    <t>DEEPAK PETROL BUNK</t>
  </si>
  <si>
    <t>SCD-39</t>
  </si>
  <si>
    <t>JAIN MANDIR</t>
  </si>
  <si>
    <t>SCD-40</t>
  </si>
  <si>
    <t>TULUJA BHAVANI</t>
  </si>
  <si>
    <t>SCD-41</t>
  </si>
  <si>
    <t>KASTURBA</t>
  </si>
  <si>
    <t>SCD-42</t>
  </si>
  <si>
    <t>VICTOR D SOUZA</t>
  </si>
  <si>
    <t>SCD-43</t>
  </si>
  <si>
    <t>BEKKINA KALMATA</t>
  </si>
  <si>
    <t>SCD-44</t>
  </si>
  <si>
    <t>DIST TRAINING COLLEGE</t>
  </si>
  <si>
    <t>SCD-45</t>
  </si>
  <si>
    <t>ARAVIND MOTORS</t>
  </si>
  <si>
    <t>SCD-46</t>
  </si>
  <si>
    <t>MTC</t>
  </si>
  <si>
    <t>SCD-47</t>
  </si>
  <si>
    <t>KRISHNA CAFÉ</t>
  </si>
  <si>
    <t>SCD-48</t>
  </si>
  <si>
    <t>PARK TC</t>
  </si>
  <si>
    <t>SCD-49</t>
  </si>
  <si>
    <t>KANCHAN TEXTTILE</t>
  </si>
  <si>
    <t>SCD-50</t>
  </si>
  <si>
    <t>SHARMA VIDIO</t>
  </si>
  <si>
    <t>SCD-51</t>
  </si>
  <si>
    <t>KASARAVALLI</t>
  </si>
  <si>
    <t>SCD-52</t>
  </si>
  <si>
    <t>MARUTHI COMPLEX</t>
  </si>
  <si>
    <t>SCD-53</t>
  </si>
  <si>
    <t>KOUTTONS</t>
  </si>
  <si>
    <t>SCD-54</t>
  </si>
  <si>
    <t>DOUBLE ROAD</t>
  </si>
  <si>
    <t>SCD-55</t>
  </si>
  <si>
    <t>GANDHI BAZAR UNDER PASS</t>
  </si>
  <si>
    <t>SCD-56</t>
  </si>
  <si>
    <t>GANGA MEDICAL</t>
  </si>
  <si>
    <t>SCD-57</t>
  </si>
  <si>
    <t>MS TOWER</t>
  </si>
  <si>
    <t>SCD-58</t>
  </si>
  <si>
    <t>AMBIKA PAPER</t>
  </si>
  <si>
    <t>SCD-59</t>
  </si>
  <si>
    <t>CMC TC</t>
  </si>
  <si>
    <t>SCD-60</t>
  </si>
  <si>
    <t>UPPAR KERI</t>
  </si>
  <si>
    <t>SCD-61</t>
  </si>
  <si>
    <t>MANJU JAIN</t>
  </si>
  <si>
    <t>SCD-62</t>
  </si>
  <si>
    <t>SHIMOGA BANGLES</t>
  </si>
  <si>
    <t>SCD-63</t>
  </si>
  <si>
    <t>BEDARAKERI</t>
  </si>
  <si>
    <t>SCD-64</t>
  </si>
  <si>
    <t>YALAKAPPANA KERI</t>
  </si>
  <si>
    <t>SCD-65</t>
  </si>
  <si>
    <t>SWASTIK SPORTS</t>
  </si>
  <si>
    <t>SCD-66</t>
  </si>
  <si>
    <t>BASANNI HOTEL</t>
  </si>
  <si>
    <t>SCD-67</t>
  </si>
  <si>
    <t>NAVIN BED CENTRE</t>
  </si>
  <si>
    <t>SCD-68</t>
  </si>
  <si>
    <t>OLD TALLUK OFFICE</t>
  </si>
  <si>
    <t>SCD-69</t>
  </si>
  <si>
    <t>KISHOR KUMAR</t>
  </si>
  <si>
    <t>SCD-70</t>
  </si>
  <si>
    <t>GAYATRI SCHOOL</t>
  </si>
  <si>
    <t>SCD-71</t>
  </si>
  <si>
    <t>MAHENDRA KUMAR JAIN</t>
  </si>
  <si>
    <t>SCD-72</t>
  </si>
  <si>
    <t>BHAGAVAN JAIN</t>
  </si>
  <si>
    <t>SCD-73</t>
  </si>
  <si>
    <t>NARAYANA COMPLEX</t>
  </si>
  <si>
    <t>SCD-74</t>
  </si>
  <si>
    <t>PRABHU</t>
  </si>
  <si>
    <t>SCD-75</t>
  </si>
  <si>
    <t>BLUE MAX</t>
  </si>
  <si>
    <t>SCD-76</t>
  </si>
  <si>
    <t>HARISH KUMAR</t>
  </si>
  <si>
    <t>SCD-77</t>
  </si>
  <si>
    <t>NAGRAJ</t>
  </si>
  <si>
    <t>SCD-78</t>
  </si>
  <si>
    <t>GAJANANA HEGDE</t>
  </si>
  <si>
    <t>SCD-79</t>
  </si>
  <si>
    <t>SCD-80</t>
  </si>
  <si>
    <t>SCD-81</t>
  </si>
  <si>
    <t>SCD-82</t>
  </si>
  <si>
    <t>SCD-83</t>
  </si>
  <si>
    <t>SCD-84</t>
  </si>
  <si>
    <t>SCD-85</t>
  </si>
  <si>
    <t>PRAMOD MEHTA</t>
  </si>
  <si>
    <t xml:space="preserve">MAHENDRA KUMAR </t>
  </si>
  <si>
    <t>SUPERIDENT OF POLICE</t>
  </si>
  <si>
    <t>BHARATH OT ROAD</t>
  </si>
  <si>
    <t>AMBALAL</t>
  </si>
  <si>
    <t>DHINESH KOTARI</t>
  </si>
  <si>
    <t>SCD</t>
  </si>
  <si>
    <t>DTC_CODE</t>
  </si>
  <si>
    <t>Total</t>
  </si>
  <si>
    <t>SHAKTI GANAPATHI TC</t>
  </si>
  <si>
    <t>CHINMAYA MISSION TC</t>
  </si>
  <si>
    <t>CHAPPALI ANGADI ROAD TC</t>
  </si>
  <si>
    <t>KR PURAM SCHOOL TC</t>
  </si>
  <si>
    <t>VINAYAKA RASTE TC</t>
  </si>
  <si>
    <t>SCD-86</t>
  </si>
  <si>
    <t>SCD-87</t>
  </si>
  <si>
    <t>SCD-88</t>
  </si>
  <si>
    <t>SCD-89</t>
  </si>
  <si>
    <t>SCD-90</t>
  </si>
  <si>
    <t>TRF</t>
  </si>
  <si>
    <t>AID</t>
  </si>
  <si>
    <t>RR No.</t>
  </si>
  <si>
    <t>NAME</t>
  </si>
  <si>
    <t>AD1</t>
  </si>
  <si>
    <t>CD(KVA)</t>
  </si>
  <si>
    <t>DOS</t>
  </si>
  <si>
    <t>STATUS</t>
  </si>
  <si>
    <t>MC(K)</t>
  </si>
  <si>
    <t>HT2B</t>
  </si>
  <si>
    <t>HT-28</t>
  </si>
  <si>
    <t>SHIMOGA COMPLEX PRIVATE LIMITED</t>
  </si>
  <si>
    <t>3RD FLOOR SS COMPLEX B.H ROAD SHIMOGA</t>
  </si>
  <si>
    <t>ACTIVE</t>
  </si>
  <si>
    <t>HT-92</t>
  </si>
  <si>
    <t>M/S PAI INTERNATIONAL LTD.,</t>
  </si>
  <si>
    <t>BH ROAD,</t>
  </si>
  <si>
    <t>HT2A</t>
  </si>
  <si>
    <t>HT-87</t>
  </si>
  <si>
    <t>M/S SHAHI EXPORTS PVT. LTD.</t>
  </si>
  <si>
    <t>S/O K.S.ESHAWARAPPA,M/S KAWDIKE TOWERS,B.H.ROAD,</t>
  </si>
  <si>
    <t>HT1</t>
  </si>
  <si>
    <t>HT-193</t>
  </si>
  <si>
    <t>COMISSIONER, KOTE WETWELL</t>
  </si>
  <si>
    <t>SHIMOGA CITY CORPORATION,BESIDE B C M LADIES HOSTEL,KOTE ROAD</t>
  </si>
  <si>
    <t>HT-188</t>
  </si>
  <si>
    <t>DISTRICT HEALTH &amp; FAMILY WELFARE OFFICER</t>
  </si>
  <si>
    <t>BH ROAD, NEAR HARSHA COMPLEX</t>
  </si>
  <si>
    <t xml:space="preserve">MRS F1 </t>
  </si>
  <si>
    <t>SCF-5</t>
  </si>
  <si>
    <t>SCF-3</t>
  </si>
  <si>
    <t>VANDANA TALKIES</t>
  </si>
  <si>
    <t>OBL ROAD MRN NAIDU APARTMENT</t>
  </si>
  <si>
    <t>TULUJA BHAVANI CROSS SIYAL COMPLEX</t>
  </si>
  <si>
    <t>PALLAVI HOTEL</t>
  </si>
  <si>
    <t>KASARAVALLI TOWER MAHARAJA ROAD</t>
  </si>
  <si>
    <t>PRAVEENKUMAR MARIKAMBA TEMPLE BACKSIDE</t>
  </si>
  <si>
    <t>SCD-91</t>
  </si>
  <si>
    <t>SCD-92</t>
  </si>
  <si>
    <t>SCD-93</t>
  </si>
  <si>
    <t>SCD-94</t>
  </si>
  <si>
    <t>SCD-95</t>
  </si>
  <si>
    <t>SCD-96</t>
  </si>
  <si>
    <t>SCD-97</t>
  </si>
  <si>
    <t>SCD-98</t>
  </si>
  <si>
    <t xml:space="preserve">Mandli F13 </t>
  </si>
  <si>
    <t xml:space="preserve">Mandli F3 </t>
  </si>
  <si>
    <t>SCD-99</t>
  </si>
  <si>
    <t>SCD-100</t>
  </si>
  <si>
    <t>SCD-101</t>
  </si>
  <si>
    <t>Charmada Mandi TC</t>
  </si>
  <si>
    <t>Antharaghtamma Temple TC</t>
  </si>
  <si>
    <t>Fish Market TC</t>
  </si>
  <si>
    <t>TRF_OLD TALUK OFFICE</t>
  </si>
  <si>
    <t>TRF_KOTE WETWELL BACKSIDE</t>
  </si>
  <si>
    <t>Mandli F22</t>
  </si>
  <si>
    <t>TRF_RAMANNASHETTY PARK</t>
  </si>
  <si>
    <t>Mandli F13</t>
  </si>
  <si>
    <t>Mandli F3</t>
  </si>
  <si>
    <t>BALEGUNDI KR PURAM ROAD</t>
  </si>
  <si>
    <t>RAVIVARMA BEDI</t>
  </si>
  <si>
    <t>SCF-140</t>
  </si>
  <si>
    <t>KIRAN MEDICAL KR PURAM</t>
  </si>
  <si>
    <t>SCE-3</t>
  </si>
  <si>
    <t>AGRICULTURE OFFICE OT ROAD</t>
  </si>
  <si>
    <t>SCF-94</t>
  </si>
  <si>
    <t>SCF-112</t>
  </si>
  <si>
    <t>KashiBai Apartment</t>
  </si>
  <si>
    <t>Pradeep Kumar</t>
  </si>
  <si>
    <t>Station</t>
  </si>
  <si>
    <t>Feeder code</t>
  </si>
  <si>
    <t>SCF</t>
  </si>
  <si>
    <t>SCE</t>
  </si>
  <si>
    <t>Feeder Name</t>
  </si>
  <si>
    <t>20030093101</t>
  </si>
  <si>
    <t>MANDLI F13</t>
  </si>
  <si>
    <t>20030093118</t>
  </si>
  <si>
    <t>Feeder ASSET ID</t>
  </si>
  <si>
    <t>MANDLI F3</t>
  </si>
  <si>
    <t>MANDLI F22</t>
  </si>
  <si>
    <t>DTC CODE</t>
  </si>
  <si>
    <t>20030089668</t>
  </si>
  <si>
    <t>20030089695</t>
  </si>
  <si>
    <t>20030089680</t>
  </si>
  <si>
    <t>20030072210</t>
  </si>
  <si>
    <t>20030089626</t>
  </si>
  <si>
    <t>20030089736</t>
  </si>
  <si>
    <t>20030086539</t>
  </si>
  <si>
    <t>20030093123</t>
  </si>
  <si>
    <t>SCD-102</t>
  </si>
  <si>
    <t>MAHAVEER JAIN SCHOOL KOTE ROAD</t>
  </si>
  <si>
    <t>METER INBUILT CTR</t>
  </si>
  <si>
    <t>CT COIL CTR</t>
  </si>
  <si>
    <t>READING CTR (METER CONSTANT)</t>
  </si>
  <si>
    <t>400/5</t>
  </si>
  <si>
    <t>100/5</t>
  </si>
  <si>
    <t>150/5</t>
  </si>
  <si>
    <t>200/5</t>
  </si>
  <si>
    <t>50/5</t>
  </si>
  <si>
    <t>75/5</t>
  </si>
  <si>
    <t>NO METER</t>
  </si>
  <si>
    <t>METER_K</t>
  </si>
  <si>
    <t>CTCOIL_K</t>
  </si>
  <si>
    <t>RATIO</t>
  </si>
  <si>
    <t>CONSTANT</t>
  </si>
  <si>
    <t>25/5</t>
  </si>
  <si>
    <t>KVK13823040024</t>
  </si>
  <si>
    <t>KVK-3321090166</t>
  </si>
  <si>
    <t>KEB31000820</t>
  </si>
  <si>
    <t>0769512090</t>
  </si>
  <si>
    <t>NGEF/04/2000/11/280005-9398</t>
  </si>
  <si>
    <t>ET14906</t>
  </si>
  <si>
    <t>DP 70</t>
  </si>
  <si>
    <t>KP.63.9027</t>
  </si>
  <si>
    <t>04880019</t>
  </si>
  <si>
    <t>NNP</t>
  </si>
  <si>
    <t>GI-140</t>
  </si>
  <si>
    <t>(1/2954)</t>
  </si>
  <si>
    <t>ODB-001105</t>
  </si>
  <si>
    <t>ASV-100-59-055</t>
  </si>
  <si>
    <t>ODF/030/02</t>
  </si>
  <si>
    <t>12170/2009</t>
  </si>
  <si>
    <t>BEEST01-2009</t>
  </si>
  <si>
    <t>03194011565</t>
  </si>
  <si>
    <t>0319611807</t>
  </si>
  <si>
    <t>KVK1417060399</t>
  </si>
  <si>
    <t>KVK03101028332</t>
  </si>
  <si>
    <t>SGR/100/BEE/005</t>
  </si>
  <si>
    <t>VF13-2011-11.1P</t>
  </si>
  <si>
    <t>NO PLATE</t>
  </si>
  <si>
    <t>63/BEE/1030</t>
  </si>
  <si>
    <t>VT-14-2013-02-01P</t>
  </si>
  <si>
    <t>0319604523</t>
  </si>
  <si>
    <t>KVK3321090168</t>
  </si>
  <si>
    <t>SGR/100/BEE/165</t>
  </si>
  <si>
    <t>SGR/63/BEE/180</t>
  </si>
  <si>
    <t>1392/176</t>
  </si>
  <si>
    <t>63/BEE184</t>
  </si>
  <si>
    <t>SGR/100/BEE/184</t>
  </si>
  <si>
    <t>63/BEE/161</t>
  </si>
  <si>
    <t>02-24220</t>
  </si>
  <si>
    <t>2020EEL3OD6/11</t>
  </si>
  <si>
    <t>NG/100/066</t>
  </si>
  <si>
    <t>06210584</t>
  </si>
  <si>
    <t>631/MAG</t>
  </si>
  <si>
    <t>0769510023</t>
  </si>
  <si>
    <t>2522060032</t>
  </si>
  <si>
    <t>SGR/63/BEE088</t>
  </si>
  <si>
    <t>KVK3722060019</t>
  </si>
  <si>
    <t>KVK38230400I</t>
  </si>
  <si>
    <t>07600050145</t>
  </si>
  <si>
    <t>KVK3722120354</t>
  </si>
  <si>
    <t>KVK3722060014</t>
  </si>
  <si>
    <t>BEE/ST/02/2009/11130</t>
  </si>
  <si>
    <t>KVK03100094661</t>
  </si>
  <si>
    <t>03-2005-05</t>
  </si>
  <si>
    <t>KVK0760003355</t>
  </si>
  <si>
    <t>SGR/63/BEE081</t>
  </si>
  <si>
    <t>SGR/25/BEE/1029</t>
  </si>
  <si>
    <t>KVK3722090231</t>
  </si>
  <si>
    <t>KVK3722100240</t>
  </si>
  <si>
    <t>SGR/63/BEE108</t>
  </si>
  <si>
    <t>KVK3321070143</t>
  </si>
  <si>
    <t>SGR/63/BEE/131</t>
  </si>
  <si>
    <t>SGE/63/BEE/182</t>
  </si>
  <si>
    <t>SGR/250/BEE/16</t>
  </si>
  <si>
    <t>RV/100/M/109/4-8</t>
  </si>
  <si>
    <t>20/1/100CM13322</t>
  </si>
  <si>
    <t>KVK3722090233</t>
  </si>
  <si>
    <t>KVK3722120358</t>
  </si>
  <si>
    <t>KVK372301049I</t>
  </si>
  <si>
    <t>NG/250/124</t>
  </si>
  <si>
    <t>VEC/63/L308</t>
  </si>
  <si>
    <t>VEC/63/L303</t>
  </si>
  <si>
    <t>KVK-3722120371</t>
  </si>
  <si>
    <t>NG/100/273</t>
  </si>
  <si>
    <t>RV/63/55/037</t>
  </si>
  <si>
    <t>SKTC BES 100-2S-4451</t>
  </si>
  <si>
    <t>SKTC BES 100-2S-4450</t>
  </si>
  <si>
    <t>SKTC BES 100-2S-4455</t>
  </si>
  <si>
    <t>VEC/63/L3??</t>
  </si>
  <si>
    <t>DTC MAKE</t>
  </si>
  <si>
    <t>DTC SERIAL NUMBER</t>
  </si>
  <si>
    <t>NGEF</t>
  </si>
  <si>
    <t>MTMC</t>
  </si>
  <si>
    <t>KAVIKA</t>
  </si>
  <si>
    <t>KEL</t>
  </si>
  <si>
    <t>DANKE PRODUCTS</t>
  </si>
  <si>
    <t>APE</t>
  </si>
  <si>
    <t>KANIKA</t>
  </si>
  <si>
    <t>GEMINI</t>
  </si>
  <si>
    <t>SGR</t>
  </si>
  <si>
    <t>MAHALAKSHMI</t>
  </si>
  <si>
    <t>NV</t>
  </si>
  <si>
    <t>PE</t>
  </si>
  <si>
    <t>VIJAY</t>
  </si>
  <si>
    <t>SUVARNA</t>
  </si>
  <si>
    <t>TECHNOFABS</t>
  </si>
  <si>
    <t>VTST</t>
  </si>
  <si>
    <t>KAVIK6</t>
  </si>
  <si>
    <t xml:space="preserve">KAVIKA </t>
  </si>
  <si>
    <t>RV</t>
  </si>
  <si>
    <t>TOSHIBA</t>
  </si>
  <si>
    <t>VIJI</t>
  </si>
  <si>
    <t>VIVU</t>
  </si>
  <si>
    <t>CHAITANYA</t>
  </si>
  <si>
    <t>ELTRA</t>
  </si>
  <si>
    <t>TECHNO€</t>
  </si>
  <si>
    <t>KANYAKA PARAMESHWARI</t>
  </si>
  <si>
    <t>SHUBHA</t>
  </si>
  <si>
    <t>VIJAY ELE</t>
  </si>
  <si>
    <t>SK TRANSFER CO</t>
  </si>
  <si>
    <t>TC RATING</t>
  </si>
  <si>
    <t>DRY TYPE</t>
  </si>
  <si>
    <t>OIL IMMERSED/DRY TYPE</t>
  </si>
  <si>
    <t>OIL</t>
  </si>
  <si>
    <t>GPS LAT</t>
  </si>
  <si>
    <t>GPS LONG</t>
  </si>
  <si>
    <t>GPS HYPERLINK</t>
  </si>
  <si>
    <t>MSB</t>
  </si>
  <si>
    <t>DEPT</t>
  </si>
  <si>
    <t>DEPT TC/MSB TC</t>
  </si>
  <si>
    <t>NAGASHREE ENTERPRISES</t>
  </si>
  <si>
    <t>VIJAY VIDYUT UDYOG</t>
  </si>
  <si>
    <t>METER MAKE</t>
  </si>
  <si>
    <t>METER SL NO</t>
  </si>
  <si>
    <t>YEAR</t>
  </si>
  <si>
    <t>IMPULSE</t>
  </si>
  <si>
    <t>L &amp; T</t>
  </si>
  <si>
    <t>08011225</t>
  </si>
  <si>
    <t>08011418</t>
  </si>
  <si>
    <t>08011202</t>
  </si>
  <si>
    <t>08011112</t>
  </si>
  <si>
    <t>08011134</t>
  </si>
  <si>
    <t>L&amp;T</t>
  </si>
  <si>
    <t>08011172</t>
  </si>
  <si>
    <t>08011168</t>
  </si>
  <si>
    <t>08011300</t>
  </si>
  <si>
    <t>PRODIGY</t>
  </si>
  <si>
    <t>MEZ10089</t>
  </si>
  <si>
    <t>08011244</t>
  </si>
  <si>
    <t>08011343</t>
  </si>
  <si>
    <t>08011150</t>
  </si>
  <si>
    <t>08010888</t>
  </si>
  <si>
    <t>08124844</t>
  </si>
  <si>
    <t>08011329</t>
  </si>
  <si>
    <t>08011271</t>
  </si>
  <si>
    <t>08011242</t>
  </si>
  <si>
    <t>08011229</t>
  </si>
  <si>
    <t>08011178</t>
  </si>
  <si>
    <t>08011332</t>
  </si>
  <si>
    <t>07435266</t>
  </si>
  <si>
    <t>07435263</t>
  </si>
  <si>
    <t>08010954</t>
  </si>
  <si>
    <t>08010989</t>
  </si>
  <si>
    <t>08011124</t>
  </si>
  <si>
    <t>08011129</t>
  </si>
  <si>
    <t>07434686</t>
  </si>
  <si>
    <t>08010326</t>
  </si>
  <si>
    <t>08011174</t>
  </si>
  <si>
    <t>08010104</t>
  </si>
  <si>
    <t>08124809</t>
  </si>
  <si>
    <t>08124806</t>
  </si>
  <si>
    <t>08124840</t>
  </si>
  <si>
    <t>08011255</t>
  </si>
  <si>
    <t>08010356</t>
  </si>
  <si>
    <t>MES79330</t>
  </si>
  <si>
    <t>GENUS</t>
  </si>
  <si>
    <t xml:space="preserve">NAME PLATE PHOTO </t>
  </si>
  <si>
    <t>METER PHOTO</t>
  </si>
  <si>
    <t>Y</t>
  </si>
  <si>
    <t>NGEF/04/2000/02/280005-9079</t>
  </si>
  <si>
    <t>SCD-103</t>
  </si>
  <si>
    <t>Bhavasaara Kshatriya Ramanna Shetty Park</t>
  </si>
  <si>
    <t>Chaitanya Electric Company</t>
  </si>
  <si>
    <t>33240522</t>
  </si>
  <si>
    <t>HPL</t>
  </si>
  <si>
    <t>5 STAR(EEL-3)</t>
  </si>
  <si>
    <t>NG/63/257</t>
  </si>
  <si>
    <t>SCD-104</t>
  </si>
  <si>
    <t>AnanthaLeela Upparkeri</t>
  </si>
  <si>
    <t>Feeder MDM Code</t>
  </si>
  <si>
    <t>363K</t>
  </si>
  <si>
    <t>F-eeder</t>
  </si>
  <si>
    <t>MRS F-1 OLDTOWN</t>
  </si>
  <si>
    <t>Mandli F-13 MANDLI BYEPASS</t>
  </si>
  <si>
    <t>Mandli F-22 GANDHIBAZAAR</t>
  </si>
  <si>
    <t>Mandli F-3 NT ROAD</t>
  </si>
  <si>
    <t>110/11KV MRS</t>
  </si>
  <si>
    <t>110/11KV MANDLI</t>
  </si>
  <si>
    <t>08011121</t>
  </si>
  <si>
    <t>08011177</t>
  </si>
  <si>
    <t>OWN</t>
  </si>
  <si>
    <t>SCD-105</t>
  </si>
  <si>
    <t>ShivappaNayaka Aramane TC</t>
  </si>
  <si>
    <t>BABA POWERCONTROLS</t>
  </si>
  <si>
    <t>BPC/63EEL2/41</t>
  </si>
  <si>
    <t>EEL-2</t>
  </si>
  <si>
    <t>EEL1</t>
  </si>
  <si>
    <t>EEL2</t>
  </si>
  <si>
    <t>EEL3</t>
  </si>
  <si>
    <t>3 STAR</t>
  </si>
  <si>
    <t>4 STAR</t>
  </si>
  <si>
    <t>5 STAR</t>
  </si>
  <si>
    <t>SCD-106</t>
  </si>
  <si>
    <t>Elerevanna Keri TC</t>
  </si>
  <si>
    <t>No Meter</t>
  </si>
  <si>
    <t>SCD-107</t>
  </si>
  <si>
    <t>SCD-108</t>
  </si>
  <si>
    <t>SCD-109</t>
  </si>
  <si>
    <t>SCD-110</t>
  </si>
  <si>
    <t>Balegundi Conservancy</t>
  </si>
  <si>
    <t>Gayathti Temple Appaji Rao Compound</t>
  </si>
  <si>
    <t>Marikamba Temple Backside</t>
  </si>
  <si>
    <t>Gayathri School Compound</t>
  </si>
  <si>
    <t>Mobile Number</t>
  </si>
  <si>
    <t>SCD-111</t>
  </si>
  <si>
    <t>SCD-112</t>
  </si>
  <si>
    <t>SUBRAMANYA MKK ROAD MSB TC</t>
  </si>
  <si>
    <t>VINAY MKK ROAD MSB TC</t>
  </si>
  <si>
    <t>SCD-113</t>
  </si>
  <si>
    <t>DEEPAK PETROL BUNK EV CHARGING STATION</t>
  </si>
  <si>
    <t>110/11KV MRS MUSS</t>
  </si>
  <si>
    <t>NODES</t>
  </si>
  <si>
    <t>110/11KV MANDLI MUSS</t>
  </si>
  <si>
    <t>KOTE ROAD RMU</t>
  </si>
  <si>
    <t>GANGOTHTI COLLEGE 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</si>
</sst>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ndale WT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ndale WT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8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8" fillId="5" borderId="3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5" fillId="0" borderId="0" xfId="0" applyFont="1"/>
    <xf numFmtId="17" fontId="0" fillId="6" borderId="1" xfId="0" applyNumberForma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6" borderId="0" xfId="0" applyFill="1"/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Unit4_Csd2.xlsx" TargetMode="External"/><Relationship Id="rId1" Type="http://schemas.openxmlformats.org/officeDocument/2006/relationships/externalLinkPath" Target="file:///C:\Users\admin\Downloads\Unit4_Csd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tlms"/>
      <sheetName val="mescom"/>
    </sheetNames>
    <sheetDataSet>
      <sheetData sheetId="0">
        <row r="1">
          <cell r="L1" t="str">
            <v>DTC Code modi</v>
          </cell>
          <cell r="M1" t="str">
            <v>DTC Name</v>
          </cell>
          <cell r="N1" t="str">
            <v>DTC Name modi</v>
          </cell>
        </row>
        <row r="2">
          <cell r="L2" t="str">
            <v>SCD-19</v>
          </cell>
          <cell r="M2" t="str">
            <v>SCD19</v>
          </cell>
          <cell r="N2" t="str">
            <v>KOTE HOSTEL</v>
          </cell>
        </row>
        <row r="3">
          <cell r="L3" t="str">
            <v>SCD-44</v>
          </cell>
          <cell r="M3" t="str">
            <v>SCD44</v>
          </cell>
          <cell r="N3" t="str">
            <v>DIST TRAINING COLLEGE</v>
          </cell>
        </row>
        <row r="4">
          <cell r="L4" t="str">
            <v>SCD-24</v>
          </cell>
          <cell r="M4" t="str">
            <v>SCD24</v>
          </cell>
          <cell r="N4" t="str">
            <v>POST OFFICE</v>
          </cell>
        </row>
        <row r="5">
          <cell r="L5" t="str">
            <v>SCD-2</v>
          </cell>
          <cell r="M5" t="str">
            <v>SCD2</v>
          </cell>
          <cell r="N5" t="str">
            <v>MARIGADDIGE</v>
          </cell>
        </row>
        <row r="6">
          <cell r="L6" t="str">
            <v>SCD-98</v>
          </cell>
          <cell r="M6" t="str">
            <v>Scd98</v>
          </cell>
          <cell r="N6" t="str">
            <v>PRAVEENKUMAR MARIKAMBA TEMPLE BACKSIDE</v>
          </cell>
        </row>
        <row r="7">
          <cell r="L7" t="str">
            <v>SCD-83</v>
          </cell>
          <cell r="M7" t="str">
            <v>SCD83</v>
          </cell>
          <cell r="N7" t="str">
            <v>AMBALAL</v>
          </cell>
        </row>
        <row r="8">
          <cell r="L8" t="str">
            <v>SCD-26</v>
          </cell>
          <cell r="M8" t="str">
            <v>Scd26</v>
          </cell>
          <cell r="N8" t="str">
            <v>BHOOPALAM</v>
          </cell>
        </row>
        <row r="9">
          <cell r="L9" t="str">
            <v>SCD-3</v>
          </cell>
          <cell r="M9" t="str">
            <v>Scd3</v>
          </cell>
          <cell r="N9" t="str">
            <v>SHIVAJI TC</v>
          </cell>
        </row>
        <row r="10">
          <cell r="L10" t="str">
            <v>SCD-90</v>
          </cell>
          <cell r="M10" t="str">
            <v>Scd90</v>
          </cell>
          <cell r="N10" t="str">
            <v>VINAYAKA RASTE TC</v>
          </cell>
        </row>
        <row r="11">
          <cell r="L11" t="str">
            <v>SCD-39</v>
          </cell>
          <cell r="M11" t="str">
            <v>Scd39</v>
          </cell>
          <cell r="N11" t="str">
            <v>JAIN MANDIR</v>
          </cell>
        </row>
        <row r="12">
          <cell r="L12" t="str">
            <v>SCD-71</v>
          </cell>
          <cell r="M12" t="str">
            <v>Scd71</v>
          </cell>
          <cell r="N12" t="str">
            <v>MAHENDRA KUMAR JAIN</v>
          </cell>
        </row>
        <row r="13">
          <cell r="L13" t="str">
            <v>SCD-61</v>
          </cell>
          <cell r="M13" t="str">
            <v>Scd61</v>
          </cell>
          <cell r="N13" t="str">
            <v>MANJU JAIN</v>
          </cell>
        </row>
        <row r="14">
          <cell r="L14" t="str">
            <v>SCD-69</v>
          </cell>
          <cell r="M14" t="str">
            <v>Scd69</v>
          </cell>
          <cell r="N14" t="str">
            <v>KISHOR KUMAR</v>
          </cell>
        </row>
        <row r="15">
          <cell r="L15" t="str">
            <v>SCD-76</v>
          </cell>
          <cell r="M15" t="str">
            <v>Scd76</v>
          </cell>
          <cell r="N15" t="str">
            <v>HARISH KUMAR</v>
          </cell>
        </row>
        <row r="16">
          <cell r="L16" t="str">
            <v>SCD-40</v>
          </cell>
          <cell r="M16" t="str">
            <v>Scd40</v>
          </cell>
          <cell r="N16" t="str">
            <v>TULUJA BHAVANI</v>
          </cell>
        </row>
        <row r="17">
          <cell r="L17" t="str">
            <v>SCD-100</v>
          </cell>
          <cell r="M17" t="str">
            <v>Scd100</v>
          </cell>
          <cell r="N17" t="str">
            <v>Antharaghtamma Temple TC</v>
          </cell>
        </row>
        <row r="18">
          <cell r="L18" t="str">
            <v>SCD-75</v>
          </cell>
          <cell r="M18" t="str">
            <v>Scd75</v>
          </cell>
          <cell r="N18" t="str">
            <v>BLUE MAX</v>
          </cell>
        </row>
        <row r="19">
          <cell r="L19" t="str">
            <v>SCD-4</v>
          </cell>
          <cell r="M19" t="str">
            <v>Scd4</v>
          </cell>
          <cell r="N19" t="str">
            <v>BESTARA KERI</v>
          </cell>
        </row>
        <row r="20">
          <cell r="L20" t="str">
            <v>SCD-48</v>
          </cell>
          <cell r="M20" t="str">
            <v>Scd48</v>
          </cell>
          <cell r="N20" t="str">
            <v>PARK TC</v>
          </cell>
        </row>
        <row r="21">
          <cell r="L21" t="str">
            <v>SCD-10</v>
          </cell>
          <cell r="M21" t="str">
            <v>Scd10</v>
          </cell>
          <cell r="N21" t="str">
            <v>KUMBARGUNDI</v>
          </cell>
        </row>
        <row r="22">
          <cell r="L22" t="str">
            <v>SCD-72</v>
          </cell>
          <cell r="M22" t="str">
            <v>Scd72</v>
          </cell>
          <cell r="N22" t="str">
            <v>BHAGAVAN JAIN</v>
          </cell>
        </row>
        <row r="23">
          <cell r="L23" t="str">
            <v>SCD-36</v>
          </cell>
          <cell r="M23" t="str">
            <v>Scd36</v>
          </cell>
          <cell r="N23" t="str">
            <v>RELIANCE KUMBARGUNDI</v>
          </cell>
        </row>
        <row r="24">
          <cell r="L24" t="str">
            <v>SCD-35</v>
          </cell>
          <cell r="M24" t="str">
            <v>Scd35</v>
          </cell>
          <cell r="N24" t="str">
            <v>KUMBARGUNDI</v>
          </cell>
        </row>
        <row r="25">
          <cell r="L25" t="str">
            <v>SCD-8</v>
          </cell>
          <cell r="M25" t="str">
            <v>Scd8</v>
          </cell>
          <cell r="N25" t="str">
            <v>OLD VEGETABLE</v>
          </cell>
        </row>
        <row r="26">
          <cell r="L26" t="str">
            <v>SCD-67</v>
          </cell>
          <cell r="M26" t="str">
            <v>Scd67</v>
          </cell>
          <cell r="N26" t="str">
            <v>NAVIN BED CENTRE</v>
          </cell>
        </row>
        <row r="27">
          <cell r="L27" t="str">
            <v>SCD-92</v>
          </cell>
          <cell r="M27" t="str">
            <v>Scd 54</v>
          </cell>
          <cell r="N27" t="str">
            <v>TULUJA BHAVANI CROSS SIYAL COMPLEX</v>
          </cell>
        </row>
        <row r="28">
          <cell r="L28" t="str">
            <v>SCD-62</v>
          </cell>
          <cell r="M28" t="str">
            <v>Scd63</v>
          </cell>
          <cell r="N28" t="str">
            <v>SHIMOGA BANGLES</v>
          </cell>
        </row>
        <row r="29">
          <cell r="L29" t="str">
            <v>SCD-30</v>
          </cell>
          <cell r="M29" t="str">
            <v>Scd30</v>
          </cell>
          <cell r="N29" t="str">
            <v>RATHAN CHAND</v>
          </cell>
        </row>
        <row r="30">
          <cell r="L30" t="str">
            <v>SCD-49</v>
          </cell>
          <cell r="M30" t="str">
            <v>Scd49</v>
          </cell>
          <cell r="N30" t="str">
            <v>KANCHAN TEXTTILE</v>
          </cell>
        </row>
        <row r="31">
          <cell r="L31" t="str">
            <v>SCD-16</v>
          </cell>
          <cell r="M31" t="str">
            <v>Scd16</v>
          </cell>
          <cell r="N31" t="str">
            <v>CHOR BAZAR</v>
          </cell>
        </row>
        <row r="32">
          <cell r="L32" t="str">
            <v>SCD-9</v>
          </cell>
          <cell r="M32" t="str">
            <v>Scd9</v>
          </cell>
          <cell r="N32" t="str">
            <v>MANJUNATHA TALKIES</v>
          </cell>
        </row>
        <row r="33">
          <cell r="L33" t="str">
            <v>SCD-11</v>
          </cell>
          <cell r="M33" t="str">
            <v>Scd11</v>
          </cell>
          <cell r="N33" t="str">
            <v>JPN SCHOOL</v>
          </cell>
        </row>
        <row r="34">
          <cell r="L34" t="str">
            <v>SCD-25</v>
          </cell>
          <cell r="M34" t="str">
            <v>Scd25</v>
          </cell>
          <cell r="N34" t="str">
            <v>H SIDDAIAH</v>
          </cell>
        </row>
        <row r="35">
          <cell r="L35" t="str">
            <v>SCD-70</v>
          </cell>
          <cell r="M35" t="str">
            <v>Scd70</v>
          </cell>
          <cell r="N35" t="str">
            <v>GAYATRI SCHOOL</v>
          </cell>
        </row>
        <row r="36">
          <cell r="L36" t="str">
            <v>SCD-66</v>
          </cell>
          <cell r="M36" t="str">
            <v>Scd66</v>
          </cell>
          <cell r="N36" t="str">
            <v>BASANNI HOTEL</v>
          </cell>
        </row>
        <row r="37">
          <cell r="L37" t="str">
            <v>SCD-7</v>
          </cell>
          <cell r="M37" t="str">
            <v>Scd7</v>
          </cell>
          <cell r="N37" t="str">
            <v>BARMAPPA NAGARA</v>
          </cell>
        </row>
        <row r="38">
          <cell r="L38" t="str">
            <v>SCD-32</v>
          </cell>
          <cell r="M38" t="str">
            <v>Scd32</v>
          </cell>
          <cell r="N38" t="str">
            <v>BARMAPPA NAGARA</v>
          </cell>
        </row>
        <row r="39">
          <cell r="L39" t="str">
            <v>SCD-57</v>
          </cell>
          <cell r="M39" t="str">
            <v>Scd57</v>
          </cell>
          <cell r="N39" t="str">
            <v>MS TOWER</v>
          </cell>
        </row>
        <row r="40">
          <cell r="L40" t="str">
            <v>SCD-84</v>
          </cell>
          <cell r="M40" t="str">
            <v>Scd84</v>
          </cell>
          <cell r="N40" t="str">
            <v>BALEGUNDI KR PURAM ROAD</v>
          </cell>
        </row>
        <row r="41">
          <cell r="L41" t="str">
            <v>SCD-86</v>
          </cell>
          <cell r="M41" t="str">
            <v>Scd86</v>
          </cell>
          <cell r="N41" t="str">
            <v>SHAKTI GANAPATHI TC</v>
          </cell>
        </row>
        <row r="42">
          <cell r="L42" t="str">
            <v>SCD-12</v>
          </cell>
          <cell r="M42" t="str">
            <v>Scd12</v>
          </cell>
          <cell r="N42" t="str">
            <v>JAYANTHI</v>
          </cell>
        </row>
        <row r="43">
          <cell r="L43" t="str">
            <v>SCD-88</v>
          </cell>
          <cell r="M43" t="str">
            <v>Scd88</v>
          </cell>
          <cell r="N43" t="str">
            <v>KR PURAM SCHOOL TC</v>
          </cell>
        </row>
        <row r="44">
          <cell r="L44" t="str">
            <v>SCD-33</v>
          </cell>
          <cell r="M44" t="str">
            <v>Scd33</v>
          </cell>
          <cell r="N44" t="str">
            <v>KR PURAM</v>
          </cell>
        </row>
        <row r="45">
          <cell r="L45" t="str">
            <v>SCD-18</v>
          </cell>
          <cell r="M45" t="str">
            <v>Scd18</v>
          </cell>
          <cell r="N45" t="str">
            <v>OT ROAD</v>
          </cell>
        </row>
        <row r="46">
          <cell r="L46" t="str">
            <v>SCD-82</v>
          </cell>
          <cell r="M46" t="str">
            <v>Scd83</v>
          </cell>
          <cell r="N46" t="str">
            <v>BHARATH OT ROAD</v>
          </cell>
        </row>
        <row r="47">
          <cell r="L47" t="str">
            <v>SCD-96</v>
          </cell>
          <cell r="M47" t="str">
            <v>Scd96</v>
          </cell>
          <cell r="N47" t="str">
            <v>PALLAVI HOTEL</v>
          </cell>
        </row>
        <row r="48">
          <cell r="L48" t="str">
            <v>SCD-89</v>
          </cell>
          <cell r="M48" t="str">
            <v>Scd89</v>
          </cell>
          <cell r="N48" t="str">
            <v>CHAPPALI ANGADI ROAD TC</v>
          </cell>
        </row>
        <row r="49">
          <cell r="L49" t="str">
            <v>SCD-21</v>
          </cell>
          <cell r="M49" t="str">
            <v>Scd21</v>
          </cell>
          <cell r="N49" t="str">
            <v>ABDUL AZEEZ</v>
          </cell>
        </row>
        <row r="50">
          <cell r="L50" t="str">
            <v>SCD-6</v>
          </cell>
          <cell r="M50" t="str">
            <v>Scd6</v>
          </cell>
          <cell r="N50" t="str">
            <v>HARALENNE KERI</v>
          </cell>
        </row>
        <row r="51">
          <cell r="L51" t="str">
            <v>SCD-37</v>
          </cell>
          <cell r="M51" t="str">
            <v>Scd37</v>
          </cell>
          <cell r="N51" t="str">
            <v>JAMIYA MASEEDI</v>
          </cell>
        </row>
        <row r="52">
          <cell r="L52" t="str">
            <v>SCD-80</v>
          </cell>
          <cell r="M52" t="str">
            <v>Scd80</v>
          </cell>
          <cell r="N52" t="str">
            <v xml:space="preserve">MAHENDRA KUMAR </v>
          </cell>
        </row>
        <row r="53">
          <cell r="L53" t="str">
            <v>SCD-34</v>
          </cell>
          <cell r="M53" t="str">
            <v>SCD34</v>
          </cell>
          <cell r="N53" t="str">
            <v>THIRUPALAIAH</v>
          </cell>
        </row>
        <row r="54">
          <cell r="L54" t="str">
            <v>SCD-63</v>
          </cell>
          <cell r="M54" t="str">
            <v>Scd63</v>
          </cell>
          <cell r="N54" t="str">
            <v>BEDARAKERI</v>
          </cell>
        </row>
        <row r="55">
          <cell r="L55" t="str">
            <v>SCD-101</v>
          </cell>
          <cell r="M55" t="str">
            <v>Scd101</v>
          </cell>
          <cell r="N55" t="str">
            <v>Fish Market TC</v>
          </cell>
        </row>
        <row r="56">
          <cell r="L56" t="str">
            <v>SCD-22</v>
          </cell>
          <cell r="M56" t="str">
            <v>Scd22</v>
          </cell>
          <cell r="N56" t="str">
            <v>SAVARKAR NAGARA</v>
          </cell>
        </row>
        <row r="57">
          <cell r="L57" t="str">
            <v>SCD-38</v>
          </cell>
          <cell r="M57" t="str">
            <v>Scd38</v>
          </cell>
          <cell r="N57" t="str">
            <v>DEEPAK PETROL BUNK</v>
          </cell>
        </row>
        <row r="58">
          <cell r="L58" t="str">
            <v>SCD-52</v>
          </cell>
          <cell r="M58" t="str">
            <v>Scd52</v>
          </cell>
          <cell r="N58" t="str">
            <v>MARUTHI COMPLEX</v>
          </cell>
        </row>
        <row r="59">
          <cell r="L59" t="str">
            <v>SCD-17</v>
          </cell>
          <cell r="M59" t="str">
            <v>Scd17</v>
          </cell>
          <cell r="N59" t="str">
            <v>PANCHATARA</v>
          </cell>
        </row>
        <row r="60">
          <cell r="L60" t="str">
            <v>SCD-55</v>
          </cell>
          <cell r="M60" t="str">
            <v>Scd55</v>
          </cell>
          <cell r="N60" t="str">
            <v>GANDHI BAZAR UNDER PASS</v>
          </cell>
        </row>
        <row r="61">
          <cell r="L61" t="str">
            <v>SCD-15</v>
          </cell>
          <cell r="M61" t="str">
            <v>Scd15</v>
          </cell>
          <cell r="N61" t="str">
            <v>CHINNA BELLI</v>
          </cell>
        </row>
        <row r="62">
          <cell r="L62" t="str">
            <v>SCD-13</v>
          </cell>
          <cell r="M62" t="str">
            <v>Scd13</v>
          </cell>
          <cell r="N62" t="str">
            <v>BHAVANI SINGH</v>
          </cell>
        </row>
        <row r="63">
          <cell r="L63" t="str">
            <v>SCD-58</v>
          </cell>
          <cell r="M63" t="str">
            <v>Scd58</v>
          </cell>
          <cell r="N63" t="str">
            <v>AMBIKA PAPER</v>
          </cell>
        </row>
        <row r="64">
          <cell r="L64" t="str">
            <v>SCD-73</v>
          </cell>
          <cell r="M64" t="str">
            <v>Scd73</v>
          </cell>
          <cell r="N64" t="str">
            <v>NARAYANA COMPLEX</v>
          </cell>
        </row>
        <row r="65">
          <cell r="L65" t="str">
            <v>SCD-65</v>
          </cell>
          <cell r="M65" t="str">
            <v>Scd65</v>
          </cell>
          <cell r="N65" t="str">
            <v>SWASTIK SPORTS</v>
          </cell>
        </row>
        <row r="66">
          <cell r="L66" t="str">
            <v>SCD-54</v>
          </cell>
          <cell r="M66" t="str">
            <v>Scd55</v>
          </cell>
          <cell r="N66" t="str">
            <v>DOUBLE ROAD</v>
          </cell>
        </row>
        <row r="67">
          <cell r="L67" t="str">
            <v>SCD-56</v>
          </cell>
          <cell r="M67" t="str">
            <v>Scd56</v>
          </cell>
          <cell r="N67" t="str">
            <v>GANGA MEDICAL</v>
          </cell>
        </row>
        <row r="68">
          <cell r="L68" t="str">
            <v>SCD-53</v>
          </cell>
          <cell r="M68" t="str">
            <v>Scd53</v>
          </cell>
          <cell r="N68" t="str">
            <v>KOUTTONS</v>
          </cell>
        </row>
        <row r="69">
          <cell r="L69" t="str">
            <v>SCD-31</v>
          </cell>
          <cell r="M69" t="str">
            <v>Scd31</v>
          </cell>
          <cell r="N69" t="str">
            <v>VINAYAKA COMPLEX</v>
          </cell>
        </row>
        <row r="70">
          <cell r="L70" t="str">
            <v>SCD-47</v>
          </cell>
          <cell r="M70" t="str">
            <v>Scd47</v>
          </cell>
          <cell r="N70" t="str">
            <v>KRISHNA CAFÉ</v>
          </cell>
        </row>
        <row r="71">
          <cell r="L71" t="str">
            <v>SCD-51</v>
          </cell>
          <cell r="M71" t="str">
            <v>Scd51</v>
          </cell>
          <cell r="N71" t="str">
            <v>KASARAVALLI</v>
          </cell>
        </row>
        <row r="72">
          <cell r="L72" t="str">
            <v>SCD-42</v>
          </cell>
          <cell r="M72" t="str">
            <v>Scd42</v>
          </cell>
          <cell r="N72" t="str">
            <v>VICTOR D SOUZA</v>
          </cell>
        </row>
        <row r="73">
          <cell r="L73" t="str">
            <v>SCD-23</v>
          </cell>
          <cell r="M73" t="str">
            <v>Scd23</v>
          </cell>
          <cell r="N73" t="str">
            <v>PRATHAP</v>
          </cell>
        </row>
        <row r="74">
          <cell r="L74" t="str">
            <v>SCD-27</v>
          </cell>
          <cell r="M74" t="str">
            <v>Scd27</v>
          </cell>
          <cell r="N74" t="str">
            <v>KATTE SRINATH</v>
          </cell>
        </row>
        <row r="75">
          <cell r="L75" t="str">
            <v>SCD-27</v>
          </cell>
          <cell r="M75" t="str">
            <v>Scd27</v>
          </cell>
          <cell r="N75" t="str">
            <v>KATTE SRINATH</v>
          </cell>
        </row>
        <row r="76">
          <cell r="L76" t="str">
            <v>SCD-29</v>
          </cell>
          <cell r="M76" t="str">
            <v>Scd29</v>
          </cell>
          <cell r="N76" t="str">
            <v>POLICE QUARTRESS</v>
          </cell>
        </row>
        <row r="77">
          <cell r="L77" t="str">
            <v>SCD-81</v>
          </cell>
          <cell r="M77" t="str">
            <v>Scd81</v>
          </cell>
          <cell r="N77" t="str">
            <v>SUPERIDENT OF POLICE</v>
          </cell>
        </row>
        <row r="78">
          <cell r="L78" t="str">
            <v>SCD-93</v>
          </cell>
          <cell r="M78" t="str">
            <v>Scd93</v>
          </cell>
          <cell r="N78" t="str">
            <v>TRF_RAMANNASHETTY PARK</v>
          </cell>
        </row>
        <row r="79">
          <cell r="L79" t="str">
            <v>SCD-94</v>
          </cell>
          <cell r="M79" t="str">
            <v>Scd94</v>
          </cell>
          <cell r="N79" t="str">
            <v>TRF_OLD TALUK OFFICE</v>
          </cell>
        </row>
        <row r="80">
          <cell r="L80" t="str">
            <v>SCD-95</v>
          </cell>
          <cell r="M80" t="str">
            <v>Scd95</v>
          </cell>
          <cell r="N80" t="str">
            <v>TRF_KOTE WETWELL BACKSIDE</v>
          </cell>
        </row>
        <row r="81">
          <cell r="L81" t="str">
            <v>SCD-91</v>
          </cell>
          <cell r="M81" t="str">
            <v>Scd91</v>
          </cell>
          <cell r="N81" t="str">
            <v>OBL ROAD MRN NAIDU APARTMENT</v>
          </cell>
        </row>
        <row r="82">
          <cell r="L82" t="str">
            <v>SCD-1</v>
          </cell>
          <cell r="M82" t="str">
            <v>Scd1</v>
          </cell>
          <cell r="N82" t="str">
            <v>GANESHA TC</v>
          </cell>
        </row>
        <row r="83">
          <cell r="L83" t="str">
            <v>SCD-85</v>
          </cell>
          <cell r="M83" t="str">
            <v>Scd85</v>
          </cell>
          <cell r="N83" t="str">
            <v>DHINESH KOTARI</v>
          </cell>
        </row>
        <row r="84">
          <cell r="L84" t="str">
            <v>SCD-50</v>
          </cell>
          <cell r="M84" t="str">
            <v>Scd50</v>
          </cell>
          <cell r="N84" t="str">
            <v>SHARMA VIDIO</v>
          </cell>
        </row>
        <row r="85">
          <cell r="L85" t="str">
            <v>SCD-79</v>
          </cell>
          <cell r="M85" t="str">
            <v>Scd79</v>
          </cell>
          <cell r="N85" t="str">
            <v>PRAMOD MEHTA</v>
          </cell>
        </row>
        <row r="86">
          <cell r="L86" t="str">
            <v>SCD-78</v>
          </cell>
          <cell r="M86" t="str">
            <v>Scd78</v>
          </cell>
          <cell r="N86" t="str">
            <v>GAJANANA HEGDE</v>
          </cell>
        </row>
        <row r="87">
          <cell r="L87" t="str">
            <v>SCD-20</v>
          </cell>
          <cell r="M87" t="str">
            <v>Scd20</v>
          </cell>
          <cell r="N87" t="str">
            <v>SCIENCE FIELD</v>
          </cell>
        </row>
        <row r="88">
          <cell r="L88" t="str">
            <v>SCD-45</v>
          </cell>
          <cell r="M88" t="str">
            <v>Scd45</v>
          </cell>
          <cell r="N88" t="str">
            <v>ARAVIND MOTORS</v>
          </cell>
        </row>
        <row r="89">
          <cell r="L89" t="str">
            <v>SCD-74</v>
          </cell>
          <cell r="M89" t="str">
            <v>Scd74</v>
          </cell>
          <cell r="N89" t="str">
            <v>PRABHU</v>
          </cell>
        </row>
        <row r="90">
          <cell r="L90" t="str">
            <v>SCD-28</v>
          </cell>
          <cell r="M90" t="str">
            <v>Scd28</v>
          </cell>
          <cell r="N90" t="str">
            <v>SONA HONDA</v>
          </cell>
        </row>
        <row r="91">
          <cell r="L91" t="str">
            <v>SCD-68</v>
          </cell>
          <cell r="M91" t="str">
            <v>SDC68</v>
          </cell>
          <cell r="N91" t="str">
            <v>OLD TALLUK OFFICE</v>
          </cell>
        </row>
        <row r="92">
          <cell r="L92" t="str">
            <v>SCD-5</v>
          </cell>
          <cell r="M92" t="str">
            <v>Scd5</v>
          </cell>
          <cell r="N92" t="str">
            <v>HAVINA KERI</v>
          </cell>
        </row>
        <row r="93">
          <cell r="L93"/>
          <cell r="M93" t="str">
            <v>Scd69</v>
          </cell>
          <cell r="N93" t="str">
            <v>KISHOR KUMAR</v>
          </cell>
        </row>
        <row r="94">
          <cell r="L94" t="str">
            <v>SCD-97</v>
          </cell>
          <cell r="M94" t="str">
            <v>Scd97</v>
          </cell>
          <cell r="N94" t="str">
            <v>KASARAVALLI TOWER MAHARAJA ROAD</v>
          </cell>
        </row>
        <row r="95">
          <cell r="L95" t="str">
            <v>SCD-46</v>
          </cell>
          <cell r="M95" t="str">
            <v>Scd46</v>
          </cell>
          <cell r="N95" t="str">
            <v>MTC</v>
          </cell>
        </row>
        <row r="96">
          <cell r="L96" t="str">
            <v>SCD-59</v>
          </cell>
          <cell r="M96" t="str">
            <v>Scd59</v>
          </cell>
          <cell r="N96" t="str">
            <v>CMC TC</v>
          </cell>
        </row>
        <row r="97">
          <cell r="L97" t="str">
            <v>SCD-41</v>
          </cell>
          <cell r="M97" t="str">
            <v>Scd41</v>
          </cell>
          <cell r="N97" t="str">
            <v>KASTURBA</v>
          </cell>
        </row>
        <row r="103">
          <cell r="L103" t="str">
            <v>SCD-98</v>
          </cell>
          <cell r="M103" t="str">
            <v>Sdc98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6EBE-B45D-4997-8A6E-9BB55B1B4DE8}">
  <dimension ref="C1:Y17"/>
  <sheetViews>
    <sheetView workbookViewId="0">
      <selection activeCell="Y12" sqref="Y12:Y16"/>
    </sheetView>
  </sheetViews>
  <sheetFormatPr defaultRowHeight="15"/>
  <cols>
    <col min="1" max="3" width="9.140625" style="2"/>
    <col min="4" max="4" width="14.42578125" style="2" hidden="1" customWidth="1"/>
    <col min="5" max="5" width="9.140625" style="2"/>
    <col min="6" max="6" width="30.7109375" style="2" customWidth="1"/>
    <col min="7" max="7" width="80.28515625" style="2" hidden="1" customWidth="1"/>
    <col min="8" max="8" width="10.140625" style="2" bestFit="1" customWidth="1"/>
    <col min="9" max="9" width="12.5703125" style="2" hidden="1" customWidth="1"/>
    <col min="10" max="10" width="8.85546875" style="2" hidden="1" customWidth="1"/>
    <col min="11" max="11" width="7.5703125" style="2" bestFit="1" customWidth="1"/>
    <col min="12" max="12" width="9.85546875" style="2" bestFit="1" customWidth="1"/>
    <col min="13" max="13" width="18.7109375" style="2" customWidth="1"/>
    <col min="14" max="14" width="14" style="2" customWidth="1"/>
    <col min="15" max="19" width="9.140625" style="2"/>
    <col min="20" max="20" width="14.28515625" style="2" customWidth="1"/>
    <col min="21" max="21" width="20.140625" style="2" customWidth="1"/>
    <col min="22" max="22" width="9.140625" style="2"/>
    <col min="23" max="23" width="24.42578125" style="2" customWidth="1"/>
    <col min="24" max="24" width="26.7109375" style="2" customWidth="1"/>
    <col min="25" max="25" width="15.28515625" style="2" customWidth="1"/>
    <col min="26" max="16384" width="9.140625" style="2"/>
  </cols>
  <sheetData>
    <row r="1" spans="3:25" ht="15.75" thickBot="1"/>
    <row r="2" spans="3:25" ht="20.25" thickTop="1" thickBot="1">
      <c r="C2" s="3" t="s">
        <v>184</v>
      </c>
      <c r="D2" s="3" t="s">
        <v>185</v>
      </c>
      <c r="E2" s="3" t="s">
        <v>186</v>
      </c>
      <c r="F2" s="4" t="s">
        <v>187</v>
      </c>
      <c r="G2" s="3" t="s">
        <v>188</v>
      </c>
      <c r="H2" s="3" t="s">
        <v>189</v>
      </c>
      <c r="I2" s="3" t="s">
        <v>190</v>
      </c>
      <c r="J2" s="3" t="s">
        <v>191</v>
      </c>
      <c r="K2" s="55" t="s">
        <v>192</v>
      </c>
      <c r="L2" s="54" t="s">
        <v>1</v>
      </c>
      <c r="M2" s="59" t="s">
        <v>253</v>
      </c>
    </row>
    <row r="3" spans="3:25" ht="33" thickTop="1" thickBot="1">
      <c r="C3" s="3" t="s">
        <v>193</v>
      </c>
      <c r="D3" s="3">
        <v>9409197000</v>
      </c>
      <c r="E3" s="3" t="s">
        <v>194</v>
      </c>
      <c r="F3" s="5" t="s">
        <v>195</v>
      </c>
      <c r="G3" s="3" t="s">
        <v>196</v>
      </c>
      <c r="H3" s="3">
        <v>150</v>
      </c>
      <c r="I3" s="6">
        <v>36131</v>
      </c>
      <c r="J3" s="53" t="s">
        <v>197</v>
      </c>
      <c r="K3" s="52">
        <v>750</v>
      </c>
      <c r="L3" s="56" t="s">
        <v>5</v>
      </c>
      <c r="M3" s="52" t="str">
        <f>IF(L3="MRS F1","110/11KV MRS","110/11KV MANDLI")</f>
        <v>110/11KV MRS</v>
      </c>
    </row>
    <row r="4" spans="3:25" ht="33" thickTop="1" thickBot="1">
      <c r="C4" s="3" t="s">
        <v>201</v>
      </c>
      <c r="D4" s="3">
        <v>1258987000</v>
      </c>
      <c r="E4" s="3" t="s">
        <v>202</v>
      </c>
      <c r="F4" s="5" t="s">
        <v>203</v>
      </c>
      <c r="G4" s="3" t="s">
        <v>204</v>
      </c>
      <c r="H4" s="3">
        <v>200</v>
      </c>
      <c r="I4" s="6">
        <v>41883</v>
      </c>
      <c r="J4" s="53" t="s">
        <v>197</v>
      </c>
      <c r="K4" s="52">
        <v>200</v>
      </c>
      <c r="L4" s="56" t="s">
        <v>5</v>
      </c>
      <c r="M4" s="52" t="str">
        <f t="shared" ref="M4:M7" si="0">IF(L4="MRS F1","110/11KV MRS","110/11KV MANDLI")</f>
        <v>110/11KV MRS</v>
      </c>
    </row>
    <row r="5" spans="3:25" ht="33" thickTop="1" thickBot="1">
      <c r="C5" s="3" t="s">
        <v>193</v>
      </c>
      <c r="D5" s="3">
        <v>9148197000</v>
      </c>
      <c r="E5" s="3" t="s">
        <v>198</v>
      </c>
      <c r="F5" s="5" t="s">
        <v>199</v>
      </c>
      <c r="G5" s="3" t="s">
        <v>200</v>
      </c>
      <c r="H5" s="3">
        <v>98</v>
      </c>
      <c r="I5" s="6">
        <v>40270</v>
      </c>
      <c r="J5" s="53" t="s">
        <v>197</v>
      </c>
      <c r="K5" s="52">
        <v>100</v>
      </c>
      <c r="L5" s="56" t="s">
        <v>5</v>
      </c>
      <c r="M5" s="52" t="str">
        <f t="shared" si="0"/>
        <v>110/11KV MRS</v>
      </c>
    </row>
    <row r="6" spans="3:25" ht="33" thickTop="1" thickBot="1">
      <c r="C6" s="3" t="s">
        <v>193</v>
      </c>
      <c r="D6" s="3">
        <v>3397793643</v>
      </c>
      <c r="E6" s="3" t="s">
        <v>209</v>
      </c>
      <c r="F6" s="5" t="s">
        <v>210</v>
      </c>
      <c r="G6" s="3" t="s">
        <v>211</v>
      </c>
      <c r="H6" s="3">
        <v>70</v>
      </c>
      <c r="I6" s="6">
        <v>44526</v>
      </c>
      <c r="J6" s="53" t="s">
        <v>197</v>
      </c>
      <c r="K6" s="52">
        <v>500</v>
      </c>
      <c r="L6" s="56" t="s">
        <v>5</v>
      </c>
      <c r="M6" s="52" t="str">
        <f>IF(L6="MRS F1","110/11KV MRS","110/11KV MANDLI")</f>
        <v>110/11KV MRS</v>
      </c>
    </row>
    <row r="7" spans="3:25" ht="33" thickTop="1" thickBot="1">
      <c r="C7" s="3" t="s">
        <v>205</v>
      </c>
      <c r="D7" s="3">
        <v>4001105388</v>
      </c>
      <c r="E7" s="3" t="s">
        <v>206</v>
      </c>
      <c r="F7" s="5" t="s">
        <v>207</v>
      </c>
      <c r="G7" s="3" t="s">
        <v>208</v>
      </c>
      <c r="H7" s="51">
        <v>60</v>
      </c>
      <c r="I7" s="6">
        <v>44702</v>
      </c>
      <c r="J7" s="53" t="s">
        <v>197</v>
      </c>
      <c r="K7" s="52">
        <v>500</v>
      </c>
      <c r="L7" s="56" t="s">
        <v>5</v>
      </c>
      <c r="M7" s="52" t="str">
        <f t="shared" si="0"/>
        <v>110/11KV MRS</v>
      </c>
    </row>
    <row r="8" spans="3:25" ht="20.25" thickTop="1" thickBot="1">
      <c r="H8" s="52" t="str">
        <f>SUM(H3:H7)&amp;" KVA"</f>
        <v>578 KVA</v>
      </c>
    </row>
    <row r="10" spans="3:25" ht="15.75" thickBot="1"/>
    <row r="11" spans="3:25" ht="20.25" thickTop="1" thickBot="1">
      <c r="T11" s="3" t="s">
        <v>184</v>
      </c>
      <c r="U11" s="3" t="s">
        <v>185</v>
      </c>
      <c r="V11" s="3" t="s">
        <v>186</v>
      </c>
      <c r="W11" s="4" t="s">
        <v>187</v>
      </c>
      <c r="X11" s="2" t="s">
        <v>499</v>
      </c>
    </row>
    <row r="12" spans="3:25" ht="33" thickTop="1" thickBot="1">
      <c r="T12" s="3" t="s">
        <v>193</v>
      </c>
      <c r="U12" s="3">
        <v>9409197000</v>
      </c>
      <c r="V12" s="3" t="s">
        <v>194</v>
      </c>
      <c r="W12" s="5" t="s">
        <v>195</v>
      </c>
      <c r="X12" s="2">
        <v>9845495909</v>
      </c>
      <c r="Y12" s="97"/>
    </row>
    <row r="13" spans="3:25" ht="33" thickTop="1" thickBot="1">
      <c r="T13" s="3" t="s">
        <v>201</v>
      </c>
      <c r="U13" s="3">
        <v>1258987000</v>
      </c>
      <c r="V13" s="3" t="s">
        <v>202</v>
      </c>
      <c r="W13" s="5" t="s">
        <v>203</v>
      </c>
      <c r="X13" s="2">
        <v>9686552297</v>
      </c>
      <c r="Y13" s="97"/>
    </row>
    <row r="14" spans="3:25" ht="33" thickTop="1" thickBot="1">
      <c r="T14" s="3" t="s">
        <v>193</v>
      </c>
      <c r="U14" s="3">
        <v>9148197000</v>
      </c>
      <c r="V14" s="3" t="s">
        <v>198</v>
      </c>
      <c r="W14" s="5" t="s">
        <v>199</v>
      </c>
      <c r="X14" s="2">
        <v>9110498442</v>
      </c>
      <c r="Y14" s="97"/>
    </row>
    <row r="15" spans="3:25" ht="48.75" thickTop="1" thickBot="1">
      <c r="T15" s="3" t="s">
        <v>193</v>
      </c>
      <c r="U15" s="3">
        <v>3397793643</v>
      </c>
      <c r="V15" s="3" t="s">
        <v>209</v>
      </c>
      <c r="W15" s="5" t="s">
        <v>210</v>
      </c>
      <c r="X15" s="2">
        <v>990659139</v>
      </c>
      <c r="Y15" s="97"/>
    </row>
    <row r="16" spans="3:25" ht="33" thickTop="1" thickBot="1">
      <c r="T16" s="3" t="s">
        <v>205</v>
      </c>
      <c r="U16" s="3">
        <v>4001105388</v>
      </c>
      <c r="V16" s="3" t="s">
        <v>206</v>
      </c>
      <c r="W16" s="5" t="s">
        <v>207</v>
      </c>
      <c r="X16" s="2">
        <v>8310769894</v>
      </c>
      <c r="Y16" s="97"/>
    </row>
    <row r="17" ht="15.75" thickTop="1"/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CE4F-2766-4E9A-A84F-CFD70718078C}">
  <dimension ref="A1:AZ130"/>
  <sheetViews>
    <sheetView tabSelected="1" zoomScaleNormal="100" workbookViewId="0">
      <pane ySplit="1" topLeftCell="A18" activePane="bottomLeft" state="frozen"/>
      <selection pane="bottomLeft" activeCell="AE38" sqref="AE38"/>
    </sheetView>
  </sheetViews>
  <sheetFormatPr defaultRowHeight="15"/>
  <cols>
    <col min="1" max="1" width="13.5703125" style="2" customWidth="1"/>
    <col min="2" max="2" width="6.28515625" customWidth="1"/>
    <col min="3" max="3" width="8.7109375" customWidth="1"/>
    <col min="4" max="4" width="10.5703125" style="89" customWidth="1"/>
    <col min="5" max="5" width="28.5703125" customWidth="1"/>
    <col min="6" max="6" width="11.5703125" customWidth="1"/>
    <col min="7" max="7" width="24" style="89" hidden="1" customWidth="1"/>
    <col min="8" max="8" width="20.7109375" hidden="1" customWidth="1"/>
    <col min="9" max="9" width="9.140625" hidden="1" customWidth="1"/>
    <col min="10" max="10" width="20" style="58" hidden="1" customWidth="1"/>
    <col min="11" max="11" width="11.28515625" style="58" hidden="1" customWidth="1"/>
    <col min="12" max="12" width="16.5703125" style="58" hidden="1" customWidth="1"/>
    <col min="13" max="13" width="14.28515625" style="2" hidden="1" customWidth="1"/>
    <col min="14" max="14" width="10.42578125" style="2" hidden="1" customWidth="1"/>
    <col min="15" max="15" width="8.85546875" style="2" hidden="1" customWidth="1"/>
    <col min="16" max="19" width="14.28515625" style="2" hidden="1" customWidth="1"/>
    <col min="20" max="20" width="14.85546875" style="2" hidden="1" customWidth="1"/>
    <col min="21" max="21" width="11.28515625" style="2" hidden="1" customWidth="1"/>
    <col min="22" max="22" width="13.42578125" style="2" hidden="1" customWidth="1"/>
    <col min="23" max="23" width="11.5703125" style="2" hidden="1" customWidth="1"/>
    <col min="24" max="25" width="14.85546875" style="2" hidden="1" customWidth="1"/>
    <col min="26" max="26" width="25.28515625" style="2" hidden="1" customWidth="1"/>
    <col min="27" max="27" width="32.42578125" style="62" hidden="1" customWidth="1"/>
    <col min="28" max="29" width="14.85546875" style="2" hidden="1" customWidth="1"/>
    <col min="30" max="30" width="16.5703125" style="70" customWidth="1"/>
    <col min="31" max="31" width="16" style="70" customWidth="1"/>
    <col min="32" max="32" width="73.42578125" style="2" bestFit="1" customWidth="1"/>
    <col min="33" max="33" width="16.140625" style="2" customWidth="1"/>
    <col min="34" max="34" width="19.42578125" style="2" customWidth="1"/>
    <col min="35" max="35" width="24" style="2" bestFit="1" customWidth="1"/>
    <col min="36" max="36" width="17" bestFit="1" customWidth="1"/>
    <col min="37" max="37" width="11.7109375" bestFit="1" customWidth="1"/>
    <col min="38" max="39" width="3" bestFit="1" customWidth="1"/>
    <col min="40" max="43" width="4" bestFit="1" customWidth="1"/>
    <col min="44" max="44" width="10.140625" bestFit="1" customWidth="1"/>
    <col min="46" max="46" width="14.28515625" bestFit="1" customWidth="1"/>
    <col min="52" max="52" width="8.140625" bestFit="1" customWidth="1"/>
  </cols>
  <sheetData>
    <row r="1" spans="1:52" s="79" customFormat="1" ht="47.25">
      <c r="A1" s="71"/>
      <c r="B1" s="72" t="s">
        <v>171</v>
      </c>
      <c r="C1" s="73" t="s">
        <v>172</v>
      </c>
      <c r="D1" s="87"/>
      <c r="E1" s="74" t="s">
        <v>0</v>
      </c>
      <c r="F1" s="75" t="s">
        <v>1</v>
      </c>
      <c r="G1" s="90" t="s">
        <v>467</v>
      </c>
      <c r="H1" s="84" t="s">
        <v>465</v>
      </c>
      <c r="I1" s="75" t="s">
        <v>2</v>
      </c>
      <c r="J1" s="75" t="s">
        <v>253</v>
      </c>
      <c r="K1" s="74" t="s">
        <v>405</v>
      </c>
      <c r="L1" s="74" t="s">
        <v>254</v>
      </c>
      <c r="M1" s="75" t="s">
        <v>264</v>
      </c>
      <c r="N1" s="74" t="s">
        <v>452</v>
      </c>
      <c r="O1" s="74" t="s">
        <v>453</v>
      </c>
      <c r="P1" s="75" t="s">
        <v>408</v>
      </c>
      <c r="Q1" s="75" t="s">
        <v>409</v>
      </c>
      <c r="R1" s="75" t="s">
        <v>410</v>
      </c>
      <c r="S1" s="75" t="s">
        <v>411</v>
      </c>
      <c r="T1" s="74" t="s">
        <v>275</v>
      </c>
      <c r="U1" s="75" t="s">
        <v>285</v>
      </c>
      <c r="V1" s="75" t="s">
        <v>276</v>
      </c>
      <c r="W1" s="75" t="s">
        <v>286</v>
      </c>
      <c r="X1" s="74" t="s">
        <v>277</v>
      </c>
      <c r="Y1" s="74" t="s">
        <v>277</v>
      </c>
      <c r="Z1" s="74" t="s">
        <v>365</v>
      </c>
      <c r="AA1" s="76" t="s">
        <v>366</v>
      </c>
      <c r="AB1" s="74" t="s">
        <v>396</v>
      </c>
      <c r="AC1" s="74" t="s">
        <v>398</v>
      </c>
      <c r="AD1" s="74" t="s">
        <v>400</v>
      </c>
      <c r="AE1" s="74" t="s">
        <v>401</v>
      </c>
      <c r="AF1" s="74" t="s">
        <v>402</v>
      </c>
      <c r="AG1" s="77"/>
      <c r="AH1" s="78" t="s">
        <v>257</v>
      </c>
      <c r="AI1" s="78" t="s">
        <v>261</v>
      </c>
    </row>
    <row r="2" spans="1:52" ht="21">
      <c r="A2" s="41" t="s">
        <v>3</v>
      </c>
      <c r="B2" s="8" t="s">
        <v>171</v>
      </c>
      <c r="C2" s="8">
        <v>1</v>
      </c>
      <c r="D2" s="88" t="str">
        <f>VLOOKUP(A2,[1]dtlms!$L:$N,3,0)</f>
        <v>GANESHA TC</v>
      </c>
      <c r="E2" s="15" t="s">
        <v>4</v>
      </c>
      <c r="F2" s="36" t="s">
        <v>5</v>
      </c>
      <c r="G2" s="91" t="s">
        <v>468</v>
      </c>
      <c r="H2" s="36">
        <v>180101</v>
      </c>
      <c r="I2" s="8">
        <v>250</v>
      </c>
      <c r="J2" s="57" t="str">
        <f t="shared" ref="J2:J33" si="0">IF(F2="MRS F1","110/11KV MRS","110/11KV MANDLI")</f>
        <v>110/11KV MRS</v>
      </c>
      <c r="K2" s="57" t="s">
        <v>404</v>
      </c>
      <c r="L2" s="57" t="str">
        <f t="shared" ref="L2:L33" si="1">VLOOKUP(F2,$AH$1:$AI$14,2,0)</f>
        <v>20030093101</v>
      </c>
      <c r="M2" s="41">
        <v>20030072368</v>
      </c>
      <c r="N2" s="41"/>
      <c r="O2" s="41"/>
      <c r="P2" s="64" t="s">
        <v>412</v>
      </c>
      <c r="Q2" s="64" t="s">
        <v>413</v>
      </c>
      <c r="R2" s="80">
        <v>39448</v>
      </c>
      <c r="S2" s="64">
        <v>31.25</v>
      </c>
      <c r="T2" s="41" t="s">
        <v>278</v>
      </c>
      <c r="U2" s="41">
        <v>80</v>
      </c>
      <c r="V2" s="41" t="s">
        <v>278</v>
      </c>
      <c r="W2" s="41">
        <v>80</v>
      </c>
      <c r="X2" s="82">
        <f>W2/U2</f>
        <v>1</v>
      </c>
      <c r="Y2" s="82">
        <v>1</v>
      </c>
      <c r="Z2" s="41" t="s">
        <v>367</v>
      </c>
      <c r="AA2" s="61">
        <v>2156300337</v>
      </c>
      <c r="AB2" s="41"/>
      <c r="AC2" s="41" t="s">
        <v>399</v>
      </c>
      <c r="AD2" s="69">
        <v>13.93118972766</v>
      </c>
      <c r="AE2" s="69">
        <v>75.585758316400003</v>
      </c>
      <c r="AF2" s="68" t="str">
        <f t="shared" ref="AF2:AF33" si="2">HYPERLINK("http://maps.google.com/maps?q=loc:"&amp;AD2&amp;","&amp;AE2)</f>
        <v>http://maps.google.com/maps?q=loc:13.93118972766,75.5857583164</v>
      </c>
      <c r="AG2" s="67"/>
      <c r="AH2" s="60" t="s">
        <v>5</v>
      </c>
      <c r="AI2" s="60" t="s">
        <v>258</v>
      </c>
    </row>
    <row r="3" spans="1:52">
      <c r="A3" s="41" t="s">
        <v>6</v>
      </c>
      <c r="B3" s="8" t="s">
        <v>171</v>
      </c>
      <c r="C3" s="8">
        <v>2</v>
      </c>
      <c r="D3" s="88" t="str">
        <f>VLOOKUP(A3,[1]dtlms!$L:$N,3,0)</f>
        <v>MARIGADDIGE</v>
      </c>
      <c r="E3" s="15" t="s">
        <v>7</v>
      </c>
      <c r="F3" s="36" t="s">
        <v>5</v>
      </c>
      <c r="G3" s="91" t="s">
        <v>468</v>
      </c>
      <c r="H3" s="36">
        <v>180101</v>
      </c>
      <c r="I3" s="8">
        <v>200</v>
      </c>
      <c r="J3" s="57" t="str">
        <f t="shared" si="0"/>
        <v>110/11KV MRS</v>
      </c>
      <c r="K3" s="57" t="s">
        <v>404</v>
      </c>
      <c r="L3" s="57" t="str">
        <f t="shared" si="1"/>
        <v>20030093101</v>
      </c>
      <c r="M3" s="41">
        <v>20030072058</v>
      </c>
      <c r="N3" s="41"/>
      <c r="O3" s="41"/>
      <c r="P3" s="64" t="s">
        <v>412</v>
      </c>
      <c r="Q3" s="64" t="s">
        <v>474</v>
      </c>
      <c r="R3" s="80">
        <v>39448</v>
      </c>
      <c r="S3" s="64">
        <v>31.25</v>
      </c>
      <c r="T3" s="41" t="s">
        <v>278</v>
      </c>
      <c r="U3" s="41">
        <v>80</v>
      </c>
      <c r="V3" s="41" t="s">
        <v>278</v>
      </c>
      <c r="W3" s="41">
        <v>80</v>
      </c>
      <c r="X3" s="82">
        <f t="shared" ref="X3:X66" si="3">W3/U3</f>
        <v>1</v>
      </c>
      <c r="Y3" s="82">
        <v>1</v>
      </c>
      <c r="Z3" s="41" t="s">
        <v>367</v>
      </c>
      <c r="AA3" s="61">
        <v>2800016362</v>
      </c>
      <c r="AB3" s="41"/>
      <c r="AC3" s="41" t="s">
        <v>399</v>
      </c>
      <c r="AD3" s="69">
        <v>13.927834300000001</v>
      </c>
      <c r="AE3" s="69">
        <v>75.581402999999995</v>
      </c>
      <c r="AF3" s="68" t="str">
        <f t="shared" si="2"/>
        <v>http://maps.google.com/maps?q=loc:13.9278343,75.581403</v>
      </c>
      <c r="AH3" s="60" t="s">
        <v>262</v>
      </c>
      <c r="AI3" s="57" t="s">
        <v>272</v>
      </c>
    </row>
    <row r="4" spans="1:52">
      <c r="A4" s="41" t="s">
        <v>8</v>
      </c>
      <c r="B4" s="8" t="s">
        <v>171</v>
      </c>
      <c r="C4" s="8">
        <v>3</v>
      </c>
      <c r="D4" s="88" t="str">
        <f>VLOOKUP(A4,[1]dtlms!$L:$N,3,0)</f>
        <v>SHIVAJI TC</v>
      </c>
      <c r="E4" s="15" t="s">
        <v>9</v>
      </c>
      <c r="F4" s="36" t="s">
        <v>5</v>
      </c>
      <c r="G4" s="91" t="s">
        <v>468</v>
      </c>
      <c r="H4" s="36">
        <v>180101</v>
      </c>
      <c r="I4" s="8">
        <v>250</v>
      </c>
      <c r="J4" s="57" t="str">
        <f t="shared" si="0"/>
        <v>110/11KV MRS</v>
      </c>
      <c r="K4" s="57" t="s">
        <v>404</v>
      </c>
      <c r="L4" s="57" t="str">
        <f t="shared" si="1"/>
        <v>20030093101</v>
      </c>
      <c r="M4" s="41">
        <v>20030072089</v>
      </c>
      <c r="N4" s="41"/>
      <c r="O4" s="41"/>
      <c r="P4" s="64" t="s">
        <v>412</v>
      </c>
      <c r="Q4" s="95" t="s">
        <v>475</v>
      </c>
      <c r="R4" s="80">
        <v>39448</v>
      </c>
      <c r="S4" s="64">
        <v>31.25</v>
      </c>
      <c r="T4" s="41" t="s">
        <v>278</v>
      </c>
      <c r="U4" s="41">
        <v>80</v>
      </c>
      <c r="V4" s="41" t="s">
        <v>278</v>
      </c>
      <c r="W4" s="41">
        <v>80</v>
      </c>
      <c r="X4" s="82">
        <f t="shared" si="3"/>
        <v>1</v>
      </c>
      <c r="Y4" s="82">
        <v>1</v>
      </c>
      <c r="Z4" s="41" t="s">
        <v>367</v>
      </c>
      <c r="AA4" s="61" t="s">
        <v>294</v>
      </c>
      <c r="AB4" s="41"/>
      <c r="AC4" s="41" t="s">
        <v>399</v>
      </c>
      <c r="AD4" s="69">
        <v>13.926219700000001</v>
      </c>
      <c r="AE4" s="69">
        <v>75.579987200000005</v>
      </c>
      <c r="AF4" s="68" t="str">
        <f t="shared" si="2"/>
        <v>http://maps.google.com/maps?q=loc:13.9262197,75.5799872</v>
      </c>
      <c r="AH4" s="60" t="s">
        <v>259</v>
      </c>
      <c r="AI4" s="60" t="s">
        <v>260</v>
      </c>
    </row>
    <row r="5" spans="1:52">
      <c r="A5" s="41" t="s">
        <v>10</v>
      </c>
      <c r="B5" s="8" t="s">
        <v>171</v>
      </c>
      <c r="C5" s="8">
        <v>4</v>
      </c>
      <c r="D5" s="88" t="str">
        <f>VLOOKUP(A5,[1]dtlms!$L:$N,3,0)</f>
        <v>BESTARA KERI</v>
      </c>
      <c r="E5" s="15" t="s">
        <v>11</v>
      </c>
      <c r="F5" s="36" t="s">
        <v>5</v>
      </c>
      <c r="G5" s="91" t="s">
        <v>468</v>
      </c>
      <c r="H5" s="36">
        <v>180101</v>
      </c>
      <c r="I5" s="8">
        <v>250</v>
      </c>
      <c r="J5" s="57" t="str">
        <f t="shared" si="0"/>
        <v>110/11KV MRS</v>
      </c>
      <c r="K5" s="57" t="s">
        <v>404</v>
      </c>
      <c r="L5" s="57" t="str">
        <f t="shared" si="1"/>
        <v>20030093101</v>
      </c>
      <c r="M5" s="41">
        <v>20030072258</v>
      </c>
      <c r="N5" s="41"/>
      <c r="O5" s="41"/>
      <c r="P5" s="64" t="s">
        <v>412</v>
      </c>
      <c r="Q5" s="64" t="s">
        <v>414</v>
      </c>
      <c r="R5" s="80">
        <v>39448</v>
      </c>
      <c r="S5" s="64">
        <v>31.25</v>
      </c>
      <c r="T5" s="41" t="s">
        <v>278</v>
      </c>
      <c r="U5" s="41">
        <v>80</v>
      </c>
      <c r="V5" s="41" t="s">
        <v>278</v>
      </c>
      <c r="W5" s="41">
        <v>80</v>
      </c>
      <c r="X5" s="82">
        <f t="shared" si="3"/>
        <v>1</v>
      </c>
      <c r="Y5" s="82">
        <v>1</v>
      </c>
      <c r="Z5" s="41" t="s">
        <v>369</v>
      </c>
      <c r="AA5" s="61" t="s">
        <v>290</v>
      </c>
      <c r="AB5" s="41"/>
      <c r="AC5" s="41" t="s">
        <v>399</v>
      </c>
      <c r="AD5" s="69">
        <v>13.9268494</v>
      </c>
      <c r="AE5" s="69">
        <v>75.5775024</v>
      </c>
      <c r="AF5" s="68" t="str">
        <f t="shared" si="2"/>
        <v>http://maps.google.com/maps?q=loc:13.9268494,75.5775024</v>
      </c>
      <c r="AH5" s="60" t="s">
        <v>263</v>
      </c>
      <c r="AI5" s="41">
        <v>0</v>
      </c>
    </row>
    <row r="6" spans="1:52">
      <c r="A6" s="41" t="s">
        <v>12</v>
      </c>
      <c r="B6" s="8" t="s">
        <v>171</v>
      </c>
      <c r="C6" s="8">
        <v>5</v>
      </c>
      <c r="D6" s="88" t="str">
        <f>VLOOKUP(A6,[1]dtlms!$L:$N,3,0)</f>
        <v>HAVINA KERI</v>
      </c>
      <c r="E6" s="15" t="s">
        <v>13</v>
      </c>
      <c r="F6" s="36" t="s">
        <v>241</v>
      </c>
      <c r="G6" s="91" t="s">
        <v>469</v>
      </c>
      <c r="H6" s="36">
        <v>180413</v>
      </c>
      <c r="I6" s="8">
        <v>250</v>
      </c>
      <c r="J6" s="57" t="str">
        <f t="shared" si="0"/>
        <v>110/11KV MANDLI</v>
      </c>
      <c r="K6" s="57" t="s">
        <v>404</v>
      </c>
      <c r="L6" s="57" t="str">
        <f t="shared" si="1"/>
        <v>20030093118</v>
      </c>
      <c r="M6" s="41">
        <v>20030072281</v>
      </c>
      <c r="N6" s="41"/>
      <c r="O6" s="41"/>
      <c r="P6" s="64" t="s">
        <v>412</v>
      </c>
      <c r="Q6" s="64" t="s">
        <v>415</v>
      </c>
      <c r="R6" s="80">
        <v>39448</v>
      </c>
      <c r="S6" s="64">
        <v>31.25</v>
      </c>
      <c r="T6" s="41" t="s">
        <v>278</v>
      </c>
      <c r="U6" s="41">
        <v>80</v>
      </c>
      <c r="V6" s="41" t="s">
        <v>278</v>
      </c>
      <c r="W6" s="41">
        <v>80</v>
      </c>
      <c r="X6" s="82">
        <f t="shared" si="3"/>
        <v>1</v>
      </c>
      <c r="Y6" s="82">
        <v>1</v>
      </c>
      <c r="Z6" s="41" t="s">
        <v>390</v>
      </c>
      <c r="AA6" s="61" t="s">
        <v>295</v>
      </c>
      <c r="AB6" s="41"/>
      <c r="AC6" s="41" t="s">
        <v>399</v>
      </c>
      <c r="AD6" s="69">
        <v>13.92470168833</v>
      </c>
      <c r="AE6" s="69">
        <v>75.577821746360001</v>
      </c>
      <c r="AF6" s="68" t="str">
        <f t="shared" si="2"/>
        <v>http://maps.google.com/maps?q=loc:13.92470168833,75.57782174636</v>
      </c>
    </row>
    <row r="7" spans="1:52">
      <c r="A7" s="41" t="s">
        <v>14</v>
      </c>
      <c r="B7" s="8" t="s">
        <v>171</v>
      </c>
      <c r="C7" s="8">
        <v>6</v>
      </c>
      <c r="D7" s="88" t="str">
        <f>VLOOKUP(A7,[1]dtlms!$L:$N,3,0)</f>
        <v>HARALENNE KERI</v>
      </c>
      <c r="E7" s="15" t="s">
        <v>15</v>
      </c>
      <c r="F7" s="20" t="s">
        <v>239</v>
      </c>
      <c r="G7" s="92" t="s">
        <v>470</v>
      </c>
      <c r="H7" s="36">
        <v>180420</v>
      </c>
      <c r="I7" s="8">
        <v>250</v>
      </c>
      <c r="J7" s="57" t="str">
        <f t="shared" si="0"/>
        <v>110/11KV MANDLI</v>
      </c>
      <c r="K7" s="57" t="s">
        <v>404</v>
      </c>
      <c r="L7" s="57">
        <f t="shared" si="1"/>
        <v>0</v>
      </c>
      <c r="M7" s="41">
        <v>20030072234</v>
      </c>
      <c r="N7" s="41"/>
      <c r="O7" s="41"/>
      <c r="P7" s="64" t="s">
        <v>412</v>
      </c>
      <c r="Q7" s="64" t="s">
        <v>416</v>
      </c>
      <c r="R7" s="80">
        <v>39448</v>
      </c>
      <c r="S7" s="64">
        <v>31.25</v>
      </c>
      <c r="T7" s="41" t="s">
        <v>278</v>
      </c>
      <c r="U7" s="41">
        <v>80</v>
      </c>
      <c r="V7" s="41" t="s">
        <v>278</v>
      </c>
      <c r="W7" s="41">
        <v>80</v>
      </c>
      <c r="X7" s="82">
        <f t="shared" si="3"/>
        <v>1</v>
      </c>
      <c r="Y7" s="82">
        <v>1</v>
      </c>
      <c r="Z7" s="41" t="s">
        <v>369</v>
      </c>
      <c r="AA7" s="61" t="s">
        <v>329</v>
      </c>
      <c r="AB7" s="41"/>
      <c r="AC7" s="41" t="s">
        <v>399</v>
      </c>
      <c r="AD7" s="69">
        <v>13.9288244</v>
      </c>
      <c r="AE7" s="69">
        <v>75.575033899999994</v>
      </c>
      <c r="AF7" s="68" t="str">
        <f t="shared" si="2"/>
        <v>http://maps.google.com/maps?q=loc:13.9288244,75.5750339</v>
      </c>
    </row>
    <row r="8" spans="1:52">
      <c r="A8" s="41" t="s">
        <v>16</v>
      </c>
      <c r="B8" s="8" t="s">
        <v>171</v>
      </c>
      <c r="C8" s="8">
        <v>7</v>
      </c>
      <c r="D8" s="88" t="str">
        <f>VLOOKUP(A8,[1]dtlms!$L:$N,3,0)</f>
        <v>BARMAPPA NAGARA</v>
      </c>
      <c r="E8" s="15" t="s">
        <v>17</v>
      </c>
      <c r="F8" s="20" t="s">
        <v>239</v>
      </c>
      <c r="G8" s="92" t="s">
        <v>470</v>
      </c>
      <c r="H8" s="36">
        <v>180420</v>
      </c>
      <c r="I8" s="8">
        <v>250</v>
      </c>
      <c r="J8" s="57" t="str">
        <f t="shared" si="0"/>
        <v>110/11KV MANDLI</v>
      </c>
      <c r="K8" s="57" t="s">
        <v>404</v>
      </c>
      <c r="L8" s="57">
        <f t="shared" si="1"/>
        <v>0</v>
      </c>
      <c r="M8" s="41">
        <v>20030072218</v>
      </c>
      <c r="N8" s="41" t="s">
        <v>454</v>
      </c>
      <c r="O8" s="41"/>
      <c r="P8" s="64" t="s">
        <v>412</v>
      </c>
      <c r="Q8" s="64" t="s">
        <v>417</v>
      </c>
      <c r="R8" s="80">
        <v>39448</v>
      </c>
      <c r="S8" s="64">
        <v>31.25</v>
      </c>
      <c r="T8" s="41" t="s">
        <v>278</v>
      </c>
      <c r="U8" s="41">
        <v>80</v>
      </c>
      <c r="V8" s="41" t="s">
        <v>278</v>
      </c>
      <c r="W8" s="41">
        <v>80</v>
      </c>
      <c r="X8" s="82">
        <f t="shared" si="3"/>
        <v>1</v>
      </c>
      <c r="Y8" s="82">
        <v>1</v>
      </c>
      <c r="Z8" s="41" t="s">
        <v>370</v>
      </c>
      <c r="AA8" s="61">
        <v>6628</v>
      </c>
      <c r="AB8" s="41"/>
      <c r="AC8" s="41" t="s">
        <v>399</v>
      </c>
      <c r="AD8" s="69">
        <v>13.926485578259999</v>
      </c>
      <c r="AE8" s="69">
        <v>75.573803366229996</v>
      </c>
      <c r="AF8" s="68" t="str">
        <f t="shared" si="2"/>
        <v>http://maps.google.com/maps?q=loc:13.92648557826,75.57380336623</v>
      </c>
    </row>
    <row r="9" spans="1:52" ht="15.75" thickBot="1">
      <c r="A9" s="41" t="s">
        <v>18</v>
      </c>
      <c r="B9" s="8" t="s">
        <v>171</v>
      </c>
      <c r="C9" s="8">
        <v>8</v>
      </c>
      <c r="D9" s="88" t="str">
        <f>VLOOKUP(A9,[1]dtlms!$L:$N,3,0)</f>
        <v>OLD VEGETABLE</v>
      </c>
      <c r="E9" s="14" t="s">
        <v>19</v>
      </c>
      <c r="F9" s="36" t="s">
        <v>241</v>
      </c>
      <c r="G9" s="91" t="s">
        <v>469</v>
      </c>
      <c r="H9" s="36">
        <v>180413</v>
      </c>
      <c r="I9" s="8">
        <v>250</v>
      </c>
      <c r="J9" s="57" t="str">
        <f t="shared" si="0"/>
        <v>110/11KV MANDLI</v>
      </c>
      <c r="K9" s="57" t="s">
        <v>404</v>
      </c>
      <c r="L9" s="57" t="str">
        <f t="shared" si="1"/>
        <v>20030093118</v>
      </c>
      <c r="M9" s="41" t="s">
        <v>265</v>
      </c>
      <c r="N9" s="41"/>
      <c r="O9" s="41"/>
      <c r="P9" s="64" t="s">
        <v>418</v>
      </c>
      <c r="Q9" s="64" t="s">
        <v>419</v>
      </c>
      <c r="R9" s="80">
        <v>39448</v>
      </c>
      <c r="S9" s="64">
        <v>31.25</v>
      </c>
      <c r="T9" s="41" t="s">
        <v>278</v>
      </c>
      <c r="U9" s="41">
        <v>80</v>
      </c>
      <c r="V9" s="41" t="s">
        <v>278</v>
      </c>
      <c r="W9" s="41">
        <v>80</v>
      </c>
      <c r="X9" s="82">
        <f t="shared" si="3"/>
        <v>1</v>
      </c>
      <c r="Y9" s="82">
        <v>1</v>
      </c>
      <c r="Z9" s="41" t="s">
        <v>371</v>
      </c>
      <c r="AA9" s="61" t="s">
        <v>296</v>
      </c>
      <c r="AB9" s="41"/>
      <c r="AC9" s="41" t="s">
        <v>399</v>
      </c>
      <c r="AD9" s="69">
        <v>13.924145299999999</v>
      </c>
      <c r="AE9" s="69">
        <v>75.577018100000004</v>
      </c>
      <c r="AF9" s="68" t="str">
        <f t="shared" si="2"/>
        <v>http://maps.google.com/maps?q=loc:13.9241453,75.5770181</v>
      </c>
    </row>
    <row r="10" spans="1:52" ht="15.75" thickBot="1">
      <c r="A10" s="41" t="s">
        <v>20</v>
      </c>
      <c r="B10" s="8" t="s">
        <v>171</v>
      </c>
      <c r="C10" s="8">
        <v>9</v>
      </c>
      <c r="D10" s="88" t="str">
        <f>VLOOKUP(A10,[1]dtlms!$L:$N,3,0)</f>
        <v>MANJUNATHA TALKIES</v>
      </c>
      <c r="E10" s="14" t="s">
        <v>21</v>
      </c>
      <c r="F10" s="36" t="s">
        <v>241</v>
      </c>
      <c r="G10" s="91" t="s">
        <v>469</v>
      </c>
      <c r="H10" s="36">
        <v>180413</v>
      </c>
      <c r="I10" s="8">
        <v>200</v>
      </c>
      <c r="J10" s="57" t="str">
        <f t="shared" si="0"/>
        <v>110/11KV MANDLI</v>
      </c>
      <c r="K10" s="57" t="s">
        <v>404</v>
      </c>
      <c r="L10" s="57" t="str">
        <f t="shared" si="1"/>
        <v>20030093118</v>
      </c>
      <c r="M10" s="41">
        <v>20030089686</v>
      </c>
      <c r="N10" s="41"/>
      <c r="O10" s="41"/>
      <c r="P10" s="64" t="s">
        <v>412</v>
      </c>
      <c r="Q10" s="64" t="s">
        <v>420</v>
      </c>
      <c r="R10" s="80">
        <v>39448</v>
      </c>
      <c r="S10" s="64">
        <v>31.25</v>
      </c>
      <c r="T10" s="41" t="s">
        <v>278</v>
      </c>
      <c r="U10" s="41">
        <v>80</v>
      </c>
      <c r="V10" s="41" t="s">
        <v>278</v>
      </c>
      <c r="W10" s="41">
        <v>80</v>
      </c>
      <c r="X10" s="82">
        <f t="shared" si="3"/>
        <v>1</v>
      </c>
      <c r="Y10" s="82">
        <v>1</v>
      </c>
      <c r="Z10" s="41" t="s">
        <v>367</v>
      </c>
      <c r="AA10" s="61">
        <v>2800016359</v>
      </c>
      <c r="AB10" s="41"/>
      <c r="AC10" s="41" t="s">
        <v>399</v>
      </c>
      <c r="AD10" s="69">
        <v>13.92345152461</v>
      </c>
      <c r="AE10" s="69">
        <v>75.57544710805</v>
      </c>
      <c r="AF10" s="68" t="str">
        <f t="shared" si="2"/>
        <v>http://maps.google.com/maps?q=loc:13.92345152461,75.57544710805</v>
      </c>
      <c r="AK10" s="1"/>
      <c r="AL10" s="7">
        <v>25</v>
      </c>
      <c r="AM10" s="7">
        <v>63</v>
      </c>
      <c r="AN10" s="7">
        <v>100</v>
      </c>
      <c r="AO10" s="7">
        <v>200</v>
      </c>
      <c r="AP10" s="31">
        <v>250</v>
      </c>
      <c r="AQ10" s="99" t="s">
        <v>173</v>
      </c>
      <c r="AR10" s="100"/>
      <c r="AT10" s="2"/>
      <c r="AU10" s="98" t="s">
        <v>2</v>
      </c>
      <c r="AV10" s="98"/>
      <c r="AW10" s="98"/>
      <c r="AX10" s="98"/>
      <c r="AY10" s="98"/>
      <c r="AZ10" s="98"/>
    </row>
    <row r="11" spans="1:52" ht="15.75" thickBot="1">
      <c r="A11" s="41" t="s">
        <v>22</v>
      </c>
      <c r="B11" s="8" t="s">
        <v>171</v>
      </c>
      <c r="C11" s="8">
        <v>10</v>
      </c>
      <c r="D11" s="88" t="str">
        <f>VLOOKUP(A11,[1]dtlms!$L:$N,3,0)</f>
        <v>KUMBARGUNDI</v>
      </c>
      <c r="E11" s="14" t="s">
        <v>23</v>
      </c>
      <c r="F11" s="36" t="s">
        <v>241</v>
      </c>
      <c r="G11" s="91" t="s">
        <v>469</v>
      </c>
      <c r="H11" s="36">
        <v>180413</v>
      </c>
      <c r="I11" s="8">
        <v>250</v>
      </c>
      <c r="J11" s="57" t="str">
        <f t="shared" si="0"/>
        <v>110/11KV MANDLI</v>
      </c>
      <c r="K11" s="57" t="s">
        <v>404</v>
      </c>
      <c r="L11" s="57" t="str">
        <f t="shared" si="1"/>
        <v>20030093118</v>
      </c>
      <c r="M11" s="41">
        <v>20030089698</v>
      </c>
      <c r="N11" s="41"/>
      <c r="O11" s="41"/>
      <c r="P11" s="64" t="s">
        <v>418</v>
      </c>
      <c r="Q11" s="64" t="s">
        <v>421</v>
      </c>
      <c r="R11" s="80">
        <v>39448</v>
      </c>
      <c r="S11" s="64">
        <v>31.25</v>
      </c>
      <c r="T11" s="41" t="s">
        <v>278</v>
      </c>
      <c r="U11" s="41">
        <v>80</v>
      </c>
      <c r="V11" s="41" t="s">
        <v>278</v>
      </c>
      <c r="W11" s="41">
        <v>80</v>
      </c>
      <c r="X11" s="82">
        <f t="shared" si="3"/>
        <v>1</v>
      </c>
      <c r="Y11" s="82">
        <v>1</v>
      </c>
      <c r="Z11" s="41" t="s">
        <v>369</v>
      </c>
      <c r="AA11" s="61">
        <v>4900903</v>
      </c>
      <c r="AB11" s="41"/>
      <c r="AC11" s="41" t="s">
        <v>399</v>
      </c>
      <c r="AD11" s="69">
        <v>13.922757370719999</v>
      </c>
      <c r="AE11" s="69">
        <v>75.577137499130004</v>
      </c>
      <c r="AF11" s="68" t="str">
        <f t="shared" si="2"/>
        <v>http://maps.google.com/maps?q=loc:13.92275737072,75.57713749913</v>
      </c>
      <c r="AH11" s="41" t="s">
        <v>287</v>
      </c>
      <c r="AI11" s="41" t="s">
        <v>288</v>
      </c>
      <c r="AK11" s="22" t="s">
        <v>212</v>
      </c>
      <c r="AL11" s="24">
        <v>2</v>
      </c>
      <c r="AM11" s="25">
        <v>13</v>
      </c>
      <c r="AN11" s="25">
        <v>32</v>
      </c>
      <c r="AO11" s="25">
        <v>1</v>
      </c>
      <c r="AP11" s="32">
        <v>12</v>
      </c>
      <c r="AQ11" s="43">
        <f>AL11+AM11+AN11+AO11+AP11</f>
        <v>60</v>
      </c>
      <c r="AR11" s="46" t="str">
        <f>AZ11&amp;" KVA"</f>
        <v>7269 KVA</v>
      </c>
      <c r="AT11" s="10" t="s">
        <v>212</v>
      </c>
      <c r="AU11" s="41">
        <f>$AL$10*AL11</f>
        <v>50</v>
      </c>
      <c r="AV11" s="41">
        <f>$AM$10*AM11</f>
        <v>819</v>
      </c>
      <c r="AW11" s="41">
        <f>$AN$10*AN11</f>
        <v>3200</v>
      </c>
      <c r="AX11" s="41">
        <f>$AO$10*AO11</f>
        <v>200</v>
      </c>
      <c r="AY11" s="41">
        <f>$AP$10*AP11</f>
        <v>3000</v>
      </c>
      <c r="AZ11" s="10">
        <f>AU11+AV11+AW11+AX11+AY11</f>
        <v>7269</v>
      </c>
    </row>
    <row r="12" spans="1:52" ht="15.75" thickBot="1">
      <c r="A12" s="41" t="s">
        <v>24</v>
      </c>
      <c r="B12" s="8" t="s">
        <v>171</v>
      </c>
      <c r="C12" s="8">
        <v>11</v>
      </c>
      <c r="D12" s="88" t="str">
        <f>VLOOKUP(A12,[1]dtlms!$L:$N,3,0)</f>
        <v>JPN SCHOOL</v>
      </c>
      <c r="E12" s="14" t="s">
        <v>25</v>
      </c>
      <c r="F12" s="36" t="s">
        <v>241</v>
      </c>
      <c r="G12" s="91" t="s">
        <v>469</v>
      </c>
      <c r="H12" s="36">
        <v>180413</v>
      </c>
      <c r="I12" s="8">
        <v>63</v>
      </c>
      <c r="J12" s="57" t="str">
        <f t="shared" si="0"/>
        <v>110/11KV MANDLI</v>
      </c>
      <c r="K12" s="57" t="s">
        <v>404</v>
      </c>
      <c r="L12" s="57" t="str">
        <f t="shared" si="1"/>
        <v>20030093118</v>
      </c>
      <c r="M12" s="41" t="s">
        <v>266</v>
      </c>
      <c r="N12" s="41"/>
      <c r="O12" s="41"/>
      <c r="P12" s="64" t="s">
        <v>422</v>
      </c>
      <c r="Q12" s="64" t="s">
        <v>423</v>
      </c>
      <c r="R12" s="80">
        <v>42644</v>
      </c>
      <c r="S12" s="64">
        <v>400</v>
      </c>
      <c r="T12" s="41">
        <v>1</v>
      </c>
      <c r="U12" s="41">
        <v>1</v>
      </c>
      <c r="V12" s="41">
        <v>1</v>
      </c>
      <c r="W12" s="41">
        <v>1</v>
      </c>
      <c r="X12" s="82">
        <f>W12/U12</f>
        <v>1</v>
      </c>
      <c r="Y12" s="82">
        <v>1</v>
      </c>
      <c r="Z12" s="41" t="s">
        <v>369</v>
      </c>
      <c r="AA12" s="61" t="s">
        <v>291</v>
      </c>
      <c r="AB12" s="41"/>
      <c r="AC12" s="41" t="s">
        <v>399</v>
      </c>
      <c r="AD12" s="69">
        <v>13.92250963111</v>
      </c>
      <c r="AE12" s="69">
        <v>75.575577169889996</v>
      </c>
      <c r="AF12" s="68" t="str">
        <f t="shared" si="2"/>
        <v>http://maps.google.com/maps?q=loc:13.92250963111,75.57557716989</v>
      </c>
      <c r="AH12" s="41" t="s">
        <v>278</v>
      </c>
      <c r="AI12" s="41">
        <v>80</v>
      </c>
      <c r="AK12" s="22" t="s">
        <v>229</v>
      </c>
      <c r="AL12" s="26">
        <v>1</v>
      </c>
      <c r="AM12" s="10">
        <v>5</v>
      </c>
      <c r="AN12" s="10">
        <v>6</v>
      </c>
      <c r="AO12" s="10">
        <v>1</v>
      </c>
      <c r="AP12" s="33">
        <v>4</v>
      </c>
      <c r="AQ12" s="44">
        <f>AL12+AM12+AN12+AO12+AP12</f>
        <v>17</v>
      </c>
      <c r="AR12" s="47" t="str">
        <f>AZ12&amp;" KVA"</f>
        <v>2140 KVA</v>
      </c>
      <c r="AT12" s="10" t="s">
        <v>229</v>
      </c>
      <c r="AU12" s="41">
        <f>$AL$10*AL12</f>
        <v>25</v>
      </c>
      <c r="AV12" s="41">
        <f>$AM$10*AM12</f>
        <v>315</v>
      </c>
      <c r="AW12" s="41">
        <f>$AN$10*AN12</f>
        <v>600</v>
      </c>
      <c r="AX12" s="41">
        <f>$AO$10*AO12</f>
        <v>200</v>
      </c>
      <c r="AY12" s="41">
        <f>$AP$10*AP12</f>
        <v>1000</v>
      </c>
      <c r="AZ12" s="10">
        <f>AU12+AV12+AW12+AX12+AY12</f>
        <v>2140</v>
      </c>
    </row>
    <row r="13" spans="1:52" ht="16.5" thickBot="1">
      <c r="A13" s="41" t="s">
        <v>26</v>
      </c>
      <c r="B13" s="8" t="s">
        <v>171</v>
      </c>
      <c r="C13" s="8">
        <v>12</v>
      </c>
      <c r="D13" s="88" t="str">
        <f>VLOOKUP(A13,[1]dtlms!$L:$N,3,0)</f>
        <v>JAYANTHI</v>
      </c>
      <c r="E13" s="14" t="s">
        <v>27</v>
      </c>
      <c r="F13" s="20" t="s">
        <v>239</v>
      </c>
      <c r="G13" s="92" t="s">
        <v>470</v>
      </c>
      <c r="H13" s="36">
        <v>180403</v>
      </c>
      <c r="I13" s="8">
        <v>250</v>
      </c>
      <c r="J13" s="57" t="str">
        <f t="shared" si="0"/>
        <v>110/11KV MANDLI</v>
      </c>
      <c r="K13" s="57" t="s">
        <v>404</v>
      </c>
      <c r="L13" s="57">
        <f t="shared" si="1"/>
        <v>0</v>
      </c>
      <c r="M13" s="41">
        <v>20030089606</v>
      </c>
      <c r="N13" s="41" t="s">
        <v>454</v>
      </c>
      <c r="O13" s="41"/>
      <c r="P13" s="64" t="s">
        <v>412</v>
      </c>
      <c r="Q13" s="64" t="s">
        <v>424</v>
      </c>
      <c r="R13" s="80">
        <v>39448</v>
      </c>
      <c r="S13" s="64">
        <v>31.25</v>
      </c>
      <c r="T13" s="41" t="s">
        <v>278</v>
      </c>
      <c r="U13" s="41">
        <v>80</v>
      </c>
      <c r="V13" s="41" t="s">
        <v>278</v>
      </c>
      <c r="W13" s="41">
        <v>80</v>
      </c>
      <c r="X13" s="82">
        <f t="shared" si="3"/>
        <v>1</v>
      </c>
      <c r="Y13" s="82">
        <v>1</v>
      </c>
      <c r="Z13" s="41" t="s">
        <v>391</v>
      </c>
      <c r="AA13" s="61">
        <v>14620</v>
      </c>
      <c r="AB13" s="41"/>
      <c r="AC13" s="41" t="s">
        <v>399</v>
      </c>
      <c r="AD13" s="69">
        <v>13.9254646</v>
      </c>
      <c r="AE13" s="69">
        <v>75.570755899999995</v>
      </c>
      <c r="AF13" s="68" t="str">
        <f t="shared" si="2"/>
        <v>http://maps.google.com/maps?q=loc:13.9254646,75.5707559</v>
      </c>
      <c r="AH13" s="41" t="s">
        <v>281</v>
      </c>
      <c r="AI13" s="41">
        <v>40</v>
      </c>
      <c r="AK13" s="23" t="s">
        <v>230</v>
      </c>
      <c r="AL13" s="26">
        <v>0</v>
      </c>
      <c r="AM13" s="10">
        <v>1</v>
      </c>
      <c r="AN13" s="10">
        <v>1</v>
      </c>
      <c r="AO13" s="10">
        <v>0</v>
      </c>
      <c r="AP13" s="33">
        <v>2</v>
      </c>
      <c r="AQ13" s="44">
        <f>AL13+AM13+AN13+AO13+AP13</f>
        <v>4</v>
      </c>
      <c r="AR13" s="47" t="str">
        <f>AZ13&amp;" KVA"</f>
        <v>663 KVA</v>
      </c>
      <c r="AT13" s="42" t="s">
        <v>230</v>
      </c>
      <c r="AU13" s="41">
        <f>$AL$10*AL13</f>
        <v>0</v>
      </c>
      <c r="AV13" s="41">
        <f>$AM$10*AM13</f>
        <v>63</v>
      </c>
      <c r="AW13" s="41">
        <f>$AN$10*AN13</f>
        <v>100</v>
      </c>
      <c r="AX13" s="41">
        <f>$AO$10*AO13</f>
        <v>0</v>
      </c>
      <c r="AY13" s="41">
        <f>$AP$10*AP13</f>
        <v>500</v>
      </c>
      <c r="AZ13" s="10">
        <f>AU13+AV13+AW13+AX13+AY13</f>
        <v>663</v>
      </c>
    </row>
    <row r="14" spans="1:52" ht="16.5" thickBot="1">
      <c r="A14" s="41" t="s">
        <v>28</v>
      </c>
      <c r="B14" s="11" t="s">
        <v>171</v>
      </c>
      <c r="C14" s="11">
        <v>13</v>
      </c>
      <c r="D14" s="88" t="str">
        <f>VLOOKUP(A14,[1]dtlms!$L:$N,3,0)</f>
        <v>BHAVANI SINGH</v>
      </c>
      <c r="E14" s="13" t="s">
        <v>29</v>
      </c>
      <c r="F14" s="85" t="s">
        <v>239</v>
      </c>
      <c r="G14" s="92" t="s">
        <v>470</v>
      </c>
      <c r="H14" s="83">
        <v>180420</v>
      </c>
      <c r="I14" s="11">
        <v>63</v>
      </c>
      <c r="J14" s="57" t="str">
        <f t="shared" si="0"/>
        <v>110/11KV MANDLI</v>
      </c>
      <c r="K14" s="57" t="s">
        <v>403</v>
      </c>
      <c r="L14" s="57">
        <f t="shared" si="1"/>
        <v>0</v>
      </c>
      <c r="M14" s="41">
        <v>20030072180</v>
      </c>
      <c r="N14" s="41"/>
      <c r="O14" s="41"/>
      <c r="P14" s="64" t="s">
        <v>412</v>
      </c>
      <c r="Q14" s="64">
        <v>14656596</v>
      </c>
      <c r="R14" s="80">
        <v>41640</v>
      </c>
      <c r="S14" s="64">
        <v>2500</v>
      </c>
      <c r="T14" s="41">
        <v>1</v>
      </c>
      <c r="U14" s="41">
        <v>1</v>
      </c>
      <c r="V14" s="41" t="s">
        <v>279</v>
      </c>
      <c r="W14" s="41">
        <v>20</v>
      </c>
      <c r="X14" s="82">
        <f t="shared" si="3"/>
        <v>20</v>
      </c>
      <c r="Y14" s="82">
        <v>20</v>
      </c>
      <c r="Z14" s="41" t="s">
        <v>392</v>
      </c>
      <c r="AA14" s="61" t="s">
        <v>297</v>
      </c>
      <c r="AB14" s="41"/>
      <c r="AC14" s="41" t="s">
        <v>399</v>
      </c>
      <c r="AD14" s="69">
        <v>13.9291743</v>
      </c>
      <c r="AE14" s="69">
        <v>75.576518500000006</v>
      </c>
      <c r="AF14" s="68" t="str">
        <f t="shared" si="2"/>
        <v>http://maps.google.com/maps?q=loc:13.9291743,75.5765185</v>
      </c>
      <c r="AH14" s="41" t="s">
        <v>280</v>
      </c>
      <c r="AI14" s="41">
        <v>30</v>
      </c>
      <c r="AK14" s="27" t="s">
        <v>239</v>
      </c>
      <c r="AL14" s="28">
        <v>0</v>
      </c>
      <c r="AM14" s="19">
        <v>5</v>
      </c>
      <c r="AN14" s="19">
        <v>12</v>
      </c>
      <c r="AO14" s="19">
        <v>1</v>
      </c>
      <c r="AP14" s="34">
        <v>7</v>
      </c>
      <c r="AQ14" s="45">
        <f>AL14+AM14+AN14+AO14+AP14</f>
        <v>25</v>
      </c>
      <c r="AR14" s="48" t="str">
        <f>AZ14&amp;" KVA"</f>
        <v>3465 KVA</v>
      </c>
      <c r="AT14" s="42" t="s">
        <v>239</v>
      </c>
      <c r="AU14" s="41">
        <f>$AL$10*AL14</f>
        <v>0</v>
      </c>
      <c r="AV14" s="41">
        <f>$AM$10*AM14</f>
        <v>315</v>
      </c>
      <c r="AW14" s="41">
        <f>$AN$10*AN14</f>
        <v>1200</v>
      </c>
      <c r="AX14" s="41">
        <f>$AO$10*AO14</f>
        <v>200</v>
      </c>
      <c r="AY14" s="41">
        <f>$AP$10*AP14</f>
        <v>1750</v>
      </c>
      <c r="AZ14" s="10">
        <f>AU14+AV14+AW14+AX14+AY14</f>
        <v>3465</v>
      </c>
    </row>
    <row r="15" spans="1:52" ht="15.75" thickBot="1">
      <c r="A15" s="41" t="s">
        <v>30</v>
      </c>
      <c r="B15" s="8" t="s">
        <v>171</v>
      </c>
      <c r="C15" s="8">
        <v>14</v>
      </c>
      <c r="D15" s="88" t="e">
        <f>VLOOKUP(A15,[1]dtlms!$L:$N,3,0)</f>
        <v>#N/A</v>
      </c>
      <c r="E15" s="15" t="s">
        <v>31</v>
      </c>
      <c r="F15" s="36" t="s">
        <v>5</v>
      </c>
      <c r="G15" s="91" t="s">
        <v>468</v>
      </c>
      <c r="H15" s="36">
        <v>180101</v>
      </c>
      <c r="I15" s="8">
        <v>250</v>
      </c>
      <c r="J15" s="57" t="str">
        <f t="shared" si="0"/>
        <v>110/11KV MRS</v>
      </c>
      <c r="K15" s="57" t="s">
        <v>404</v>
      </c>
      <c r="L15" s="57" t="str">
        <f t="shared" si="1"/>
        <v>20030093101</v>
      </c>
      <c r="M15" s="41">
        <v>20030072304</v>
      </c>
      <c r="N15" s="41"/>
      <c r="O15" s="41"/>
      <c r="P15" s="64" t="s">
        <v>412</v>
      </c>
      <c r="Q15" s="64" t="s">
        <v>425</v>
      </c>
      <c r="R15" s="80">
        <v>39448</v>
      </c>
      <c r="S15" s="64">
        <v>31.25</v>
      </c>
      <c r="T15" s="41" t="s">
        <v>278</v>
      </c>
      <c r="U15" s="41">
        <v>80</v>
      </c>
      <c r="V15" s="41" t="s">
        <v>278</v>
      </c>
      <c r="W15" s="41">
        <v>80</v>
      </c>
      <c r="X15" s="82">
        <f t="shared" si="3"/>
        <v>1</v>
      </c>
      <c r="Y15" s="82">
        <v>1</v>
      </c>
      <c r="Z15" s="41" t="s">
        <v>369</v>
      </c>
      <c r="AA15" s="61" t="s">
        <v>292</v>
      </c>
      <c r="AB15" s="41"/>
      <c r="AC15" s="41" t="s">
        <v>399</v>
      </c>
      <c r="AD15" s="69">
        <v>13.930334800000001</v>
      </c>
      <c r="AE15" s="69">
        <v>75.582195999999996</v>
      </c>
      <c r="AF15" s="68" t="str">
        <f t="shared" si="2"/>
        <v>http://maps.google.com/maps?q=loc:13.9303348,75.582196</v>
      </c>
      <c r="AH15" s="41" t="s">
        <v>279</v>
      </c>
      <c r="AI15" s="41">
        <v>20</v>
      </c>
      <c r="AK15" s="22" t="s">
        <v>173</v>
      </c>
      <c r="AL15" s="29">
        <f>AL11+AL12+AL13+AL14</f>
        <v>3</v>
      </c>
      <c r="AM15" s="30">
        <f>AM11+AM12+AM13+AM14</f>
        <v>24</v>
      </c>
      <c r="AN15" s="30">
        <f>AN11+AN12+AN13+AN14</f>
        <v>51</v>
      </c>
      <c r="AO15" s="30">
        <f>AO11+AO12+AO13+AO14</f>
        <v>3</v>
      </c>
      <c r="AP15" s="35">
        <f>AP11+AP12+AP13+AP14</f>
        <v>25</v>
      </c>
      <c r="AQ15" s="22">
        <f>AL15+AM15+AN15+AO15+AP15</f>
        <v>106</v>
      </c>
      <c r="AR15" s="49" t="str">
        <f>AZ15&amp;" KVA"</f>
        <v>13537 KVA</v>
      </c>
      <c r="AZ15" s="50">
        <f>SUM(AZ11:AZ14)</f>
        <v>13537</v>
      </c>
    </row>
    <row r="16" spans="1:52">
      <c r="A16" s="41" t="s">
        <v>32</v>
      </c>
      <c r="B16" s="8" t="s">
        <v>171</v>
      </c>
      <c r="C16" s="8">
        <v>15</v>
      </c>
      <c r="D16" s="88" t="str">
        <f>VLOOKUP(A16,[1]dtlms!$L:$N,3,0)</f>
        <v>CHINNA BELLI</v>
      </c>
      <c r="E16" s="15" t="s">
        <v>33</v>
      </c>
      <c r="F16" s="20" t="s">
        <v>239</v>
      </c>
      <c r="G16" s="92" t="s">
        <v>470</v>
      </c>
      <c r="H16" s="36">
        <v>180420</v>
      </c>
      <c r="I16" s="8">
        <v>250</v>
      </c>
      <c r="J16" s="57" t="str">
        <f t="shared" si="0"/>
        <v>110/11KV MANDLI</v>
      </c>
      <c r="K16" s="57" t="s">
        <v>404</v>
      </c>
      <c r="L16" s="57">
        <f t="shared" si="1"/>
        <v>0</v>
      </c>
      <c r="M16" s="41">
        <v>20030072176</v>
      </c>
      <c r="N16" s="41"/>
      <c r="O16" s="41"/>
      <c r="P16" s="64" t="s">
        <v>412</v>
      </c>
      <c r="Q16" s="64" t="s">
        <v>426</v>
      </c>
      <c r="R16" s="80">
        <v>39448</v>
      </c>
      <c r="S16" s="64">
        <v>31.25</v>
      </c>
      <c r="T16" s="41" t="s">
        <v>278</v>
      </c>
      <c r="U16" s="41">
        <v>80</v>
      </c>
      <c r="V16" s="41" t="s">
        <v>278</v>
      </c>
      <c r="W16" s="41">
        <v>80</v>
      </c>
      <c r="X16" s="82">
        <f t="shared" si="3"/>
        <v>1</v>
      </c>
      <c r="Y16" s="82">
        <v>1</v>
      </c>
      <c r="Z16" s="41" t="s">
        <v>367</v>
      </c>
      <c r="AA16" s="61">
        <v>2800044494</v>
      </c>
      <c r="AB16" s="41"/>
      <c r="AC16" s="41" t="s">
        <v>399</v>
      </c>
      <c r="AD16" s="69">
        <v>13.9295499</v>
      </c>
      <c r="AE16" s="69">
        <v>75.576425</v>
      </c>
      <c r="AF16" s="68" t="str">
        <f t="shared" si="2"/>
        <v>http://maps.google.com/maps?q=loc:13.9295499,75.576425</v>
      </c>
      <c r="AH16" s="41" t="s">
        <v>283</v>
      </c>
      <c r="AI16" s="41">
        <v>15</v>
      </c>
    </row>
    <row r="17" spans="1:36">
      <c r="A17" s="41" t="s">
        <v>34</v>
      </c>
      <c r="B17" s="8" t="s">
        <v>171</v>
      </c>
      <c r="C17" s="8">
        <v>16</v>
      </c>
      <c r="D17" s="88" t="str">
        <f>VLOOKUP(A17,[1]dtlms!$L:$N,3,0)</f>
        <v>CHOR BAZAR</v>
      </c>
      <c r="E17" s="14" t="s">
        <v>35</v>
      </c>
      <c r="F17" s="36" t="s">
        <v>241</v>
      </c>
      <c r="G17" s="91" t="s">
        <v>469</v>
      </c>
      <c r="H17" s="36">
        <v>180413</v>
      </c>
      <c r="I17" s="8">
        <v>100</v>
      </c>
      <c r="J17" s="57" t="str">
        <f t="shared" si="0"/>
        <v>110/11KV MANDLI</v>
      </c>
      <c r="K17" s="57" t="s">
        <v>404</v>
      </c>
      <c r="L17" s="57" t="str">
        <f t="shared" si="1"/>
        <v>20030093118</v>
      </c>
      <c r="M17" s="41">
        <v>20030089663</v>
      </c>
      <c r="N17" s="41"/>
      <c r="O17" s="41"/>
      <c r="P17" s="64" t="s">
        <v>418</v>
      </c>
      <c r="Q17" s="64" t="s">
        <v>427</v>
      </c>
      <c r="R17" s="80">
        <v>39448</v>
      </c>
      <c r="S17" s="64">
        <v>83.33</v>
      </c>
      <c r="T17" s="41" t="s">
        <v>280</v>
      </c>
      <c r="U17" s="41">
        <v>30</v>
      </c>
      <c r="V17" s="41" t="s">
        <v>280</v>
      </c>
      <c r="W17" s="41">
        <v>30</v>
      </c>
      <c r="X17" s="82">
        <f t="shared" si="3"/>
        <v>1</v>
      </c>
      <c r="Y17" s="82">
        <v>1</v>
      </c>
      <c r="Z17" s="41" t="s">
        <v>372</v>
      </c>
      <c r="AA17" s="61">
        <v>7634</v>
      </c>
      <c r="AB17" s="41"/>
      <c r="AC17" s="41" t="s">
        <v>399</v>
      </c>
      <c r="AD17" s="69">
        <v>13.92469336832</v>
      </c>
      <c r="AE17" s="69">
        <v>75.576464875200003</v>
      </c>
      <c r="AF17" s="68" t="str">
        <f t="shared" si="2"/>
        <v>http://maps.google.com/maps?q=loc:13.92469336832,75.5764648752</v>
      </c>
      <c r="AH17" s="41" t="s">
        <v>282</v>
      </c>
      <c r="AI17" s="41">
        <v>10</v>
      </c>
    </row>
    <row r="18" spans="1:36">
      <c r="A18" s="41" t="s">
        <v>36</v>
      </c>
      <c r="B18" s="8" t="s">
        <v>171</v>
      </c>
      <c r="C18" s="8">
        <v>17</v>
      </c>
      <c r="D18" s="88" t="str">
        <f>VLOOKUP(A18,[1]dtlms!$L:$N,3,0)</f>
        <v>PANCHATARA</v>
      </c>
      <c r="E18" s="15" t="s">
        <v>37</v>
      </c>
      <c r="F18" s="20" t="s">
        <v>239</v>
      </c>
      <c r="G18" s="92" t="s">
        <v>470</v>
      </c>
      <c r="H18" s="36">
        <v>180420</v>
      </c>
      <c r="I18" s="8">
        <v>250</v>
      </c>
      <c r="J18" s="57" t="str">
        <f t="shared" si="0"/>
        <v>110/11KV MANDLI</v>
      </c>
      <c r="K18" s="57" t="s">
        <v>404</v>
      </c>
      <c r="L18" s="57">
        <f t="shared" si="1"/>
        <v>0</v>
      </c>
      <c r="M18" s="41">
        <v>20030072186</v>
      </c>
      <c r="N18" s="41"/>
      <c r="O18" s="41"/>
      <c r="P18" s="64" t="s">
        <v>412</v>
      </c>
      <c r="Q18" s="64" t="s">
        <v>428</v>
      </c>
      <c r="R18" s="80">
        <v>39448</v>
      </c>
      <c r="S18" s="64">
        <v>31.25</v>
      </c>
      <c r="T18" s="41" t="s">
        <v>278</v>
      </c>
      <c r="U18" s="41">
        <v>80</v>
      </c>
      <c r="V18" s="41" t="s">
        <v>278</v>
      </c>
      <c r="W18" s="41">
        <v>80</v>
      </c>
      <c r="X18" s="82">
        <f t="shared" si="3"/>
        <v>1</v>
      </c>
      <c r="Y18" s="82">
        <v>1</v>
      </c>
      <c r="Z18" s="41" t="s">
        <v>373</v>
      </c>
      <c r="AA18" s="61" t="s">
        <v>298</v>
      </c>
      <c r="AB18" s="41"/>
      <c r="AC18" s="41" t="s">
        <v>399</v>
      </c>
      <c r="AD18" s="69">
        <v>13.92931384738</v>
      </c>
      <c r="AE18" s="69">
        <v>75.575185102890003</v>
      </c>
      <c r="AF18" s="68" t="str">
        <f t="shared" si="2"/>
        <v>http://maps.google.com/maps?q=loc:13.92931384738,75.57518510289</v>
      </c>
      <c r="AH18" s="61" t="s">
        <v>289</v>
      </c>
      <c r="AI18" s="41">
        <v>5</v>
      </c>
    </row>
    <row r="19" spans="1:36">
      <c r="A19" s="41" t="s">
        <v>38</v>
      </c>
      <c r="B19" s="8" t="s">
        <v>171</v>
      </c>
      <c r="C19" s="8">
        <v>18</v>
      </c>
      <c r="D19" s="88" t="str">
        <f>VLOOKUP(A19,[1]dtlms!$L:$N,3,0)</f>
        <v>OT ROAD</v>
      </c>
      <c r="E19" s="14" t="s">
        <v>39</v>
      </c>
      <c r="F19" s="36" t="s">
        <v>242</v>
      </c>
      <c r="G19" s="91" t="s">
        <v>471</v>
      </c>
      <c r="H19" s="36">
        <v>180403</v>
      </c>
      <c r="I19" s="8">
        <v>250</v>
      </c>
      <c r="J19" s="57" t="str">
        <f t="shared" si="0"/>
        <v>110/11KV MANDLI</v>
      </c>
      <c r="K19" s="57" t="s">
        <v>404</v>
      </c>
      <c r="L19" s="57" t="str">
        <f t="shared" si="1"/>
        <v>20030093123</v>
      </c>
      <c r="M19" s="41">
        <v>20030089585</v>
      </c>
      <c r="N19" s="41" t="s">
        <v>454</v>
      </c>
      <c r="O19" s="41"/>
      <c r="P19" s="64" t="s">
        <v>412</v>
      </c>
      <c r="Q19" s="64" t="s">
        <v>429</v>
      </c>
      <c r="R19" s="80">
        <v>39448</v>
      </c>
      <c r="S19" s="64">
        <v>31.25</v>
      </c>
      <c r="T19" s="41" t="s">
        <v>278</v>
      </c>
      <c r="U19" s="41">
        <v>80</v>
      </c>
      <c r="V19" s="41" t="s">
        <v>278</v>
      </c>
      <c r="W19" s="41">
        <v>80</v>
      </c>
      <c r="X19" s="82">
        <f t="shared" si="3"/>
        <v>1</v>
      </c>
      <c r="Y19" s="82">
        <v>1</v>
      </c>
      <c r="Z19" s="41" t="s">
        <v>369</v>
      </c>
      <c r="AA19" s="61" t="s">
        <v>293</v>
      </c>
      <c r="AB19" s="41"/>
      <c r="AC19" s="41" t="s">
        <v>399</v>
      </c>
      <c r="AD19" s="69">
        <v>13.9274512</v>
      </c>
      <c r="AE19" s="69">
        <v>75.572420699999995</v>
      </c>
      <c r="AF19" s="68" t="str">
        <f t="shared" si="2"/>
        <v>http://maps.google.com/maps?q=loc:13.9274512,75.5724207</v>
      </c>
      <c r="AH19" s="41">
        <v>1</v>
      </c>
      <c r="AI19" s="41">
        <v>1</v>
      </c>
    </row>
    <row r="20" spans="1:36">
      <c r="A20" s="41" t="s">
        <v>40</v>
      </c>
      <c r="B20" s="8" t="s">
        <v>171</v>
      </c>
      <c r="C20" s="8">
        <v>19</v>
      </c>
      <c r="D20" s="88" t="str">
        <f>VLOOKUP(A20,[1]dtlms!$L:$N,3,0)</f>
        <v>KOTE HOSTEL</v>
      </c>
      <c r="E20" s="15" t="s">
        <v>41</v>
      </c>
      <c r="F20" s="36" t="s">
        <v>5</v>
      </c>
      <c r="G20" s="91" t="s">
        <v>468</v>
      </c>
      <c r="H20" s="36">
        <v>180101</v>
      </c>
      <c r="I20" s="8">
        <v>250</v>
      </c>
      <c r="J20" s="57" t="str">
        <f t="shared" si="0"/>
        <v>110/11KV MRS</v>
      </c>
      <c r="K20" s="57" t="s">
        <v>404</v>
      </c>
      <c r="L20" s="57" t="str">
        <f t="shared" si="1"/>
        <v>20030093101</v>
      </c>
      <c r="M20" s="41">
        <v>20030072386</v>
      </c>
      <c r="N20" s="41"/>
      <c r="O20" s="41"/>
      <c r="P20" s="64" t="s">
        <v>412</v>
      </c>
      <c r="Q20" s="64" t="s">
        <v>430</v>
      </c>
      <c r="R20" s="80">
        <v>39448</v>
      </c>
      <c r="S20" s="64">
        <v>31.25</v>
      </c>
      <c r="T20" s="41">
        <v>1</v>
      </c>
      <c r="U20" s="41">
        <v>1</v>
      </c>
      <c r="V20" s="41" t="s">
        <v>280</v>
      </c>
      <c r="W20" s="41">
        <v>30</v>
      </c>
      <c r="X20" s="82">
        <f t="shared" si="3"/>
        <v>30</v>
      </c>
      <c r="Y20" s="82">
        <v>30</v>
      </c>
      <c r="Z20" s="41" t="s">
        <v>369</v>
      </c>
      <c r="AA20" s="61" t="s">
        <v>330</v>
      </c>
      <c r="AB20" s="41"/>
      <c r="AC20" s="41" t="s">
        <v>399</v>
      </c>
      <c r="AD20" s="69">
        <v>13.930670466760001</v>
      </c>
      <c r="AE20" s="69">
        <v>75.585861900020006</v>
      </c>
      <c r="AF20" s="68" t="str">
        <f t="shared" si="2"/>
        <v>http://maps.google.com/maps?q=loc:13.93067046676,75.58586190002</v>
      </c>
      <c r="AH20" s="41" t="s">
        <v>284</v>
      </c>
      <c r="AI20" s="41" t="s">
        <v>284</v>
      </c>
    </row>
    <row r="21" spans="1:36">
      <c r="A21" s="41" t="s">
        <v>42</v>
      </c>
      <c r="B21" s="8" t="s">
        <v>171</v>
      </c>
      <c r="C21" s="8">
        <v>20</v>
      </c>
      <c r="D21" s="88" t="str">
        <f>VLOOKUP(A21,[1]dtlms!$L:$N,3,0)</f>
        <v>SCIENCE FIELD</v>
      </c>
      <c r="E21" s="15" t="s">
        <v>43</v>
      </c>
      <c r="F21" s="36" t="s">
        <v>5</v>
      </c>
      <c r="G21" s="91" t="s">
        <v>468</v>
      </c>
      <c r="H21" s="36">
        <v>180101</v>
      </c>
      <c r="I21" s="8">
        <v>100</v>
      </c>
      <c r="J21" s="57" t="str">
        <f t="shared" si="0"/>
        <v>110/11KV MRS</v>
      </c>
      <c r="K21" s="57" t="s">
        <v>404</v>
      </c>
      <c r="L21" s="57" t="str">
        <f t="shared" si="1"/>
        <v>20030093101</v>
      </c>
      <c r="M21" s="41">
        <v>20030072313</v>
      </c>
      <c r="N21" s="41"/>
      <c r="O21" s="41"/>
      <c r="P21" s="64" t="s">
        <v>412</v>
      </c>
      <c r="Q21" s="64" t="s">
        <v>431</v>
      </c>
      <c r="R21" s="80">
        <v>39448</v>
      </c>
      <c r="S21" s="64">
        <v>31.25</v>
      </c>
      <c r="T21" s="41" t="s">
        <v>278</v>
      </c>
      <c r="U21" s="41">
        <v>80</v>
      </c>
      <c r="V21" s="41" t="s">
        <v>280</v>
      </c>
      <c r="W21" s="41">
        <v>30</v>
      </c>
      <c r="X21" s="82">
        <f t="shared" si="3"/>
        <v>0.375</v>
      </c>
      <c r="Y21" s="82">
        <v>0.375</v>
      </c>
      <c r="Z21" s="41" t="s">
        <v>369</v>
      </c>
      <c r="AA21" s="61">
        <v>3314111288</v>
      </c>
      <c r="AB21" s="41"/>
      <c r="AC21" s="41" t="s">
        <v>399</v>
      </c>
      <c r="AD21" s="69">
        <v>13.931632731240001</v>
      </c>
      <c r="AE21" s="69">
        <v>75.583660955309995</v>
      </c>
      <c r="AF21" s="68" t="str">
        <f t="shared" si="2"/>
        <v>http://maps.google.com/maps?q=loc:13.93163273124,75.58366095531</v>
      </c>
    </row>
    <row r="22" spans="1:36">
      <c r="A22" s="41" t="s">
        <v>44</v>
      </c>
      <c r="B22" s="11" t="s">
        <v>171</v>
      </c>
      <c r="C22" s="11">
        <v>21</v>
      </c>
      <c r="D22" s="88" t="str">
        <f>VLOOKUP(A22,[1]dtlms!$L:$N,3,0)</f>
        <v>ABDUL AZEEZ</v>
      </c>
      <c r="E22" s="13" t="s">
        <v>45</v>
      </c>
      <c r="F22" s="37" t="s">
        <v>239</v>
      </c>
      <c r="G22" s="92" t="s">
        <v>470</v>
      </c>
      <c r="H22" s="86">
        <v>180420</v>
      </c>
      <c r="I22" s="11">
        <v>63</v>
      </c>
      <c r="J22" s="57" t="str">
        <f t="shared" si="0"/>
        <v>110/11KV MANDLI</v>
      </c>
      <c r="K22" s="57" t="s">
        <v>403</v>
      </c>
      <c r="L22" s="57">
        <f t="shared" si="1"/>
        <v>0</v>
      </c>
      <c r="M22" s="41">
        <v>20030072147</v>
      </c>
      <c r="N22" s="41" t="s">
        <v>454</v>
      </c>
      <c r="O22" s="41" t="s">
        <v>454</v>
      </c>
      <c r="P22" s="64" t="s">
        <v>412</v>
      </c>
      <c r="Q22" s="64">
        <v>14656668</v>
      </c>
      <c r="R22" s="80">
        <v>41640</v>
      </c>
      <c r="S22" s="64">
        <v>2500</v>
      </c>
      <c r="T22" s="41">
        <v>1</v>
      </c>
      <c r="U22" s="41">
        <v>1</v>
      </c>
      <c r="V22" s="41" t="s">
        <v>279</v>
      </c>
      <c r="W22" s="41">
        <v>20</v>
      </c>
      <c r="X22" s="82">
        <f t="shared" si="3"/>
        <v>20</v>
      </c>
      <c r="Y22" s="82">
        <v>20</v>
      </c>
      <c r="Z22" s="41" t="s">
        <v>375</v>
      </c>
      <c r="AA22" s="61" t="s">
        <v>331</v>
      </c>
      <c r="AB22" s="41"/>
      <c r="AC22" s="41" t="s">
        <v>399</v>
      </c>
      <c r="AD22" s="69">
        <v>13.92792530829</v>
      </c>
      <c r="AE22" s="69">
        <v>75.574962991229995</v>
      </c>
      <c r="AF22" s="68" t="str">
        <f t="shared" si="2"/>
        <v>http://maps.google.com/maps?q=loc:13.92792530829,75.57496299123</v>
      </c>
    </row>
    <row r="23" spans="1:36">
      <c r="A23" s="41" t="s">
        <v>46</v>
      </c>
      <c r="B23" s="8" t="s">
        <v>171</v>
      </c>
      <c r="C23" s="8">
        <v>22</v>
      </c>
      <c r="D23" s="88" t="str">
        <f>VLOOKUP(A23,[1]dtlms!$L:$N,3,0)</f>
        <v>SAVARKAR NAGARA</v>
      </c>
      <c r="E23" s="15" t="s">
        <v>47</v>
      </c>
      <c r="F23" s="36" t="s">
        <v>5</v>
      </c>
      <c r="G23" s="91" t="s">
        <v>468</v>
      </c>
      <c r="H23" s="36">
        <v>180101</v>
      </c>
      <c r="I23" s="8">
        <v>250</v>
      </c>
      <c r="J23" s="57" t="str">
        <f t="shared" si="0"/>
        <v>110/11KV MRS</v>
      </c>
      <c r="K23" s="57" t="s">
        <v>404</v>
      </c>
      <c r="L23" s="57" t="str">
        <f t="shared" si="1"/>
        <v>20030093101</v>
      </c>
      <c r="M23" s="41">
        <v>20030072249</v>
      </c>
      <c r="N23" s="41"/>
      <c r="O23" s="41"/>
      <c r="P23" s="64" t="s">
        <v>412</v>
      </c>
      <c r="Q23" s="64">
        <v>13255068</v>
      </c>
      <c r="R23" s="80">
        <v>41061</v>
      </c>
      <c r="S23" s="64">
        <v>2500</v>
      </c>
      <c r="T23" s="41">
        <v>1</v>
      </c>
      <c r="U23" s="41">
        <v>1</v>
      </c>
      <c r="V23" s="41" t="s">
        <v>278</v>
      </c>
      <c r="W23" s="41">
        <v>80</v>
      </c>
      <c r="X23" s="82">
        <f t="shared" si="3"/>
        <v>80</v>
      </c>
      <c r="Y23" s="82">
        <v>80</v>
      </c>
      <c r="Z23" s="41" t="s">
        <v>368</v>
      </c>
      <c r="AA23" s="61">
        <v>25093010</v>
      </c>
      <c r="AB23" s="41"/>
      <c r="AC23" s="41" t="s">
        <v>399</v>
      </c>
      <c r="AD23" s="69">
        <v>13.929352822149999</v>
      </c>
      <c r="AE23" s="69">
        <v>75.578047812700007</v>
      </c>
      <c r="AF23" s="68" t="str">
        <f t="shared" si="2"/>
        <v>http://maps.google.com/maps?q=loc:13.92935282215,75.5780478127</v>
      </c>
    </row>
    <row r="24" spans="1:36">
      <c r="A24" s="41" t="s">
        <v>48</v>
      </c>
      <c r="B24" s="8" t="s">
        <v>171</v>
      </c>
      <c r="C24" s="8">
        <v>23</v>
      </c>
      <c r="D24" s="88" t="str">
        <f>VLOOKUP(A24,[1]dtlms!$L:$N,3,0)</f>
        <v>PRATHAP</v>
      </c>
      <c r="E24" s="15" t="s">
        <v>49</v>
      </c>
      <c r="F24" s="36" t="s">
        <v>5</v>
      </c>
      <c r="G24" s="91" t="s">
        <v>468</v>
      </c>
      <c r="H24" s="36">
        <v>180101</v>
      </c>
      <c r="I24" s="8">
        <v>250</v>
      </c>
      <c r="J24" s="57" t="str">
        <f t="shared" si="0"/>
        <v>110/11KV MRS</v>
      </c>
      <c r="K24" s="57" t="s">
        <v>404</v>
      </c>
      <c r="L24" s="57" t="str">
        <f t="shared" si="1"/>
        <v>20030093101</v>
      </c>
      <c r="M24" s="41">
        <v>20030072038</v>
      </c>
      <c r="N24" s="41"/>
      <c r="O24" s="41"/>
      <c r="P24" s="64" t="s">
        <v>412</v>
      </c>
      <c r="Q24" s="64" t="s">
        <v>432</v>
      </c>
      <c r="R24" s="80">
        <v>39448</v>
      </c>
      <c r="S24" s="64">
        <v>31.5</v>
      </c>
      <c r="T24" s="41" t="s">
        <v>278</v>
      </c>
      <c r="U24" s="41">
        <v>80</v>
      </c>
      <c r="V24" s="41" t="s">
        <v>278</v>
      </c>
      <c r="W24" s="41">
        <v>80</v>
      </c>
      <c r="X24" s="82">
        <f t="shared" si="3"/>
        <v>1</v>
      </c>
      <c r="Y24" s="82">
        <v>1</v>
      </c>
      <c r="Z24" s="41" t="s">
        <v>299</v>
      </c>
      <c r="AA24" s="61" t="s">
        <v>299</v>
      </c>
      <c r="AB24" s="41"/>
      <c r="AC24" s="41" t="s">
        <v>399</v>
      </c>
      <c r="AD24" s="69">
        <v>13.9292984</v>
      </c>
      <c r="AE24" s="69">
        <v>75.580883099999994</v>
      </c>
      <c r="AF24" s="68" t="str">
        <f t="shared" si="2"/>
        <v>http://maps.google.com/maps?q=loc:13.9292984,75.5808831</v>
      </c>
      <c r="AH24" s="60" t="s">
        <v>5</v>
      </c>
      <c r="AI24" s="36" t="s">
        <v>468</v>
      </c>
      <c r="AJ24" s="60">
        <v>3654</v>
      </c>
    </row>
    <row r="25" spans="1:36">
      <c r="A25" s="41" t="s">
        <v>50</v>
      </c>
      <c r="B25" s="8" t="s">
        <v>171</v>
      </c>
      <c r="C25" s="8">
        <v>24</v>
      </c>
      <c r="D25" s="88" t="str">
        <f>VLOOKUP(A25,[1]dtlms!$L:$N,3,0)</f>
        <v>POST OFFICE</v>
      </c>
      <c r="E25" s="15" t="s">
        <v>51</v>
      </c>
      <c r="F25" s="36" t="s">
        <v>5</v>
      </c>
      <c r="G25" s="91" t="s">
        <v>468</v>
      </c>
      <c r="H25" s="36">
        <v>180101</v>
      </c>
      <c r="I25" s="8">
        <v>100</v>
      </c>
      <c r="J25" s="57" t="str">
        <f t="shared" si="0"/>
        <v>110/11KV MRS</v>
      </c>
      <c r="K25" s="57" t="s">
        <v>404</v>
      </c>
      <c r="L25" s="57" t="str">
        <f t="shared" si="1"/>
        <v>20030093101</v>
      </c>
      <c r="M25" s="41">
        <v>20030072000</v>
      </c>
      <c r="N25" s="41"/>
      <c r="O25" s="41"/>
      <c r="P25" s="64" t="s">
        <v>412</v>
      </c>
      <c r="Q25" s="64">
        <v>12654370</v>
      </c>
      <c r="R25" s="80">
        <v>41244</v>
      </c>
      <c r="S25" s="64">
        <v>2500</v>
      </c>
      <c r="T25" s="41">
        <v>1</v>
      </c>
      <c r="U25" s="41">
        <v>1</v>
      </c>
      <c r="V25" s="41" t="s">
        <v>278</v>
      </c>
      <c r="W25" s="41">
        <v>80</v>
      </c>
      <c r="X25" s="82">
        <f t="shared" si="3"/>
        <v>80</v>
      </c>
      <c r="Y25" s="82">
        <v>80</v>
      </c>
      <c r="Z25" s="41" t="s">
        <v>369</v>
      </c>
      <c r="AA25" s="61" t="s">
        <v>332</v>
      </c>
      <c r="AB25" s="41"/>
      <c r="AC25" s="41" t="s">
        <v>399</v>
      </c>
      <c r="AD25" s="69">
        <v>13.9289699</v>
      </c>
      <c r="AE25" s="69">
        <v>75.583523900000003</v>
      </c>
      <c r="AF25" s="68" t="str">
        <f t="shared" si="2"/>
        <v>http://maps.google.com/maps?q=loc:13.9289699,75.5835239</v>
      </c>
      <c r="AH25" s="60" t="s">
        <v>262</v>
      </c>
      <c r="AI25" s="36" t="s">
        <v>471</v>
      </c>
      <c r="AJ25" s="60">
        <v>3639</v>
      </c>
    </row>
    <row r="26" spans="1:36">
      <c r="A26" s="41" t="s">
        <v>52</v>
      </c>
      <c r="B26" s="8" t="s">
        <v>171</v>
      </c>
      <c r="C26" s="8">
        <v>25</v>
      </c>
      <c r="D26" s="88" t="str">
        <f>VLOOKUP(A26,[1]dtlms!$L:$N,3,0)</f>
        <v>H SIDDAIAH</v>
      </c>
      <c r="E26" s="14" t="s">
        <v>53</v>
      </c>
      <c r="F26" s="36" t="s">
        <v>241</v>
      </c>
      <c r="G26" s="91" t="s">
        <v>469</v>
      </c>
      <c r="H26" s="36">
        <v>180413</v>
      </c>
      <c r="I26" s="8">
        <v>250</v>
      </c>
      <c r="J26" s="57" t="str">
        <f t="shared" si="0"/>
        <v>110/11KV MANDLI</v>
      </c>
      <c r="K26" s="57" t="s">
        <v>404</v>
      </c>
      <c r="L26" s="57" t="str">
        <f t="shared" si="1"/>
        <v>20030093118</v>
      </c>
      <c r="M26" s="41">
        <v>20030089654</v>
      </c>
      <c r="N26" s="41"/>
      <c r="O26" s="41"/>
      <c r="P26" s="64" t="s">
        <v>418</v>
      </c>
      <c r="Q26" s="64" t="s">
        <v>433</v>
      </c>
      <c r="R26" s="80">
        <v>39448</v>
      </c>
      <c r="S26" s="64">
        <v>31.25</v>
      </c>
      <c r="T26" s="41" t="s">
        <v>278</v>
      </c>
      <c r="U26" s="41">
        <v>80</v>
      </c>
      <c r="V26" s="41" t="s">
        <v>278</v>
      </c>
      <c r="W26" s="41">
        <v>80</v>
      </c>
      <c r="X26" s="82">
        <f t="shared" si="3"/>
        <v>1</v>
      </c>
      <c r="Y26" s="82">
        <v>1</v>
      </c>
      <c r="Z26" s="41" t="s">
        <v>368</v>
      </c>
      <c r="AA26" s="61">
        <v>25097142</v>
      </c>
      <c r="AB26" s="41"/>
      <c r="AC26" s="41" t="s">
        <v>399</v>
      </c>
      <c r="AD26" s="69">
        <v>13.9250146386</v>
      </c>
      <c r="AE26" s="69">
        <v>75.575409991179995</v>
      </c>
      <c r="AF26" s="68" t="str">
        <f t="shared" si="2"/>
        <v>http://maps.google.com/maps?q=loc:13.9250146386,75.57540999118</v>
      </c>
      <c r="AH26" s="60" t="s">
        <v>259</v>
      </c>
      <c r="AI26" s="36" t="s">
        <v>469</v>
      </c>
      <c r="AJ26" s="60">
        <v>3638</v>
      </c>
    </row>
    <row r="27" spans="1:36">
      <c r="A27" s="41" t="s">
        <v>54</v>
      </c>
      <c r="B27" s="8" t="s">
        <v>171</v>
      </c>
      <c r="C27" s="8">
        <v>26</v>
      </c>
      <c r="D27" s="88" t="str">
        <f>VLOOKUP(A27,[1]dtlms!$L:$N,3,0)</f>
        <v>BHOOPALAM</v>
      </c>
      <c r="E27" s="15" t="s">
        <v>55</v>
      </c>
      <c r="F27" s="36" t="s">
        <v>5</v>
      </c>
      <c r="G27" s="91" t="s">
        <v>468</v>
      </c>
      <c r="H27" s="36">
        <v>180101</v>
      </c>
      <c r="I27" s="8">
        <v>250</v>
      </c>
      <c r="J27" s="57" t="str">
        <f t="shared" si="0"/>
        <v>110/11KV MRS</v>
      </c>
      <c r="K27" s="57" t="s">
        <v>404</v>
      </c>
      <c r="L27" s="57" t="str">
        <f t="shared" si="1"/>
        <v>20030093101</v>
      </c>
      <c r="M27" s="41">
        <v>20030072066</v>
      </c>
      <c r="N27" s="41"/>
      <c r="O27" s="41"/>
      <c r="P27" s="64" t="s">
        <v>412</v>
      </c>
      <c r="Q27" s="64" t="s">
        <v>434</v>
      </c>
      <c r="R27" s="80">
        <v>39448</v>
      </c>
      <c r="S27" s="64">
        <v>31.25</v>
      </c>
      <c r="T27" s="41" t="s">
        <v>278</v>
      </c>
      <c r="U27" s="41">
        <v>80</v>
      </c>
      <c r="V27" s="41" t="s">
        <v>278</v>
      </c>
      <c r="W27" s="41">
        <v>80</v>
      </c>
      <c r="X27" s="82">
        <f t="shared" si="3"/>
        <v>1</v>
      </c>
      <c r="Y27" s="82">
        <v>1</v>
      </c>
      <c r="Z27" s="41" t="s">
        <v>370</v>
      </c>
      <c r="AA27" s="61">
        <v>16027</v>
      </c>
      <c r="AB27" s="41"/>
      <c r="AC27" s="41" t="s">
        <v>399</v>
      </c>
      <c r="AD27" s="69">
        <v>13.926576799999999</v>
      </c>
      <c r="AE27" s="69">
        <v>75.580680400000006</v>
      </c>
      <c r="AF27" s="68" t="str">
        <f t="shared" si="2"/>
        <v>http://maps.google.com/maps?q=loc:13.9265768,75.5806804</v>
      </c>
      <c r="AH27" s="60" t="s">
        <v>263</v>
      </c>
      <c r="AI27" s="20" t="s">
        <v>470</v>
      </c>
      <c r="AJ27" s="60" t="s">
        <v>466</v>
      </c>
    </row>
    <row r="28" spans="1:36">
      <c r="A28" s="41" t="s">
        <v>56</v>
      </c>
      <c r="B28" s="8" t="s">
        <v>171</v>
      </c>
      <c r="C28" s="8">
        <v>27</v>
      </c>
      <c r="D28" s="88" t="str">
        <f>VLOOKUP(A28,[1]dtlms!$L:$N,3,0)</f>
        <v>KATTE SRINATH</v>
      </c>
      <c r="E28" s="15" t="s">
        <v>57</v>
      </c>
      <c r="F28" s="36" t="s">
        <v>5</v>
      </c>
      <c r="G28" s="91" t="s">
        <v>468</v>
      </c>
      <c r="H28" s="36">
        <v>180101</v>
      </c>
      <c r="I28" s="8">
        <v>100</v>
      </c>
      <c r="J28" s="57" t="str">
        <f t="shared" si="0"/>
        <v>110/11KV MRS</v>
      </c>
      <c r="K28" s="57" t="s">
        <v>404</v>
      </c>
      <c r="L28" s="57" t="str">
        <f t="shared" si="1"/>
        <v>20030093101</v>
      </c>
      <c r="M28" s="41">
        <v>20030072026</v>
      </c>
      <c r="N28" s="41"/>
      <c r="O28" s="41"/>
      <c r="P28" s="64" t="s">
        <v>412</v>
      </c>
      <c r="Q28" s="64" t="s">
        <v>435</v>
      </c>
      <c r="R28" s="80">
        <v>39417</v>
      </c>
      <c r="S28" s="64">
        <v>83.33</v>
      </c>
      <c r="T28" s="41" t="s">
        <v>280</v>
      </c>
      <c r="U28" s="41">
        <v>30</v>
      </c>
      <c r="V28" s="41" t="s">
        <v>278</v>
      </c>
      <c r="W28" s="41">
        <v>80</v>
      </c>
      <c r="X28" s="82">
        <f t="shared" si="3"/>
        <v>2.6666666666666665</v>
      </c>
      <c r="Y28" s="82">
        <v>2.6666666666666665</v>
      </c>
      <c r="Z28" s="41" t="s">
        <v>299</v>
      </c>
      <c r="AA28" s="61" t="s">
        <v>299</v>
      </c>
      <c r="AB28" s="41"/>
      <c r="AC28" s="41" t="s">
        <v>399</v>
      </c>
      <c r="AD28" s="69">
        <v>13.92941348962</v>
      </c>
      <c r="AE28" s="69">
        <v>75.582589965560004</v>
      </c>
      <c r="AF28" s="68" t="str">
        <f t="shared" si="2"/>
        <v>http://maps.google.com/maps?q=loc:13.92941348962,75.58258996556</v>
      </c>
    </row>
    <row r="29" spans="1:36">
      <c r="A29" s="41" t="s">
        <v>58</v>
      </c>
      <c r="B29" s="8" t="s">
        <v>171</v>
      </c>
      <c r="C29" s="8">
        <v>28</v>
      </c>
      <c r="D29" s="88" t="str">
        <f>VLOOKUP(A29,[1]dtlms!$L:$N,3,0)</f>
        <v>SONA HONDA</v>
      </c>
      <c r="E29" s="15" t="s">
        <v>59</v>
      </c>
      <c r="F29" s="36" t="s">
        <v>5</v>
      </c>
      <c r="G29" s="91" t="s">
        <v>468</v>
      </c>
      <c r="H29" s="36">
        <v>180101</v>
      </c>
      <c r="I29" s="8">
        <v>250</v>
      </c>
      <c r="J29" s="57" t="str">
        <f t="shared" si="0"/>
        <v>110/11KV MRS</v>
      </c>
      <c r="K29" s="57" t="s">
        <v>404</v>
      </c>
      <c r="L29" s="57" t="str">
        <f t="shared" si="1"/>
        <v>20030093101</v>
      </c>
      <c r="M29" s="41">
        <v>20030072329</v>
      </c>
      <c r="N29" s="41"/>
      <c r="O29" s="41"/>
      <c r="P29" s="64" t="s">
        <v>412</v>
      </c>
      <c r="Q29" s="64">
        <v>10363555</v>
      </c>
      <c r="R29" s="80">
        <v>40422</v>
      </c>
      <c r="S29" s="64">
        <v>2500</v>
      </c>
      <c r="T29" s="41">
        <v>1</v>
      </c>
      <c r="U29" s="41">
        <v>1</v>
      </c>
      <c r="V29" s="41" t="s">
        <v>278</v>
      </c>
      <c r="W29" s="41">
        <v>80</v>
      </c>
      <c r="X29" s="82">
        <f t="shared" si="3"/>
        <v>80</v>
      </c>
      <c r="Y29" s="82">
        <v>80</v>
      </c>
      <c r="Z29" s="41" t="s">
        <v>374</v>
      </c>
      <c r="AA29" s="61" t="s">
        <v>300</v>
      </c>
      <c r="AB29" s="41"/>
      <c r="AC29" s="41" t="s">
        <v>399</v>
      </c>
      <c r="AD29" s="69">
        <v>13.929649700000001</v>
      </c>
      <c r="AE29" s="69">
        <v>75.575699900000004</v>
      </c>
      <c r="AF29" s="68" t="str">
        <f t="shared" si="2"/>
        <v>http://maps.google.com/maps?q=loc:13.9296497,75.5756999</v>
      </c>
    </row>
    <row r="30" spans="1:36">
      <c r="A30" s="41" t="s">
        <v>60</v>
      </c>
      <c r="B30" s="8" t="s">
        <v>171</v>
      </c>
      <c r="C30" s="8">
        <v>29</v>
      </c>
      <c r="D30" s="88" t="str">
        <f>VLOOKUP(A30,[1]dtlms!$L:$N,3,0)</f>
        <v>POLICE QUARTRESS</v>
      </c>
      <c r="E30" s="15" t="s">
        <v>61</v>
      </c>
      <c r="F30" s="36" t="s">
        <v>5</v>
      </c>
      <c r="G30" s="91" t="s">
        <v>468</v>
      </c>
      <c r="H30" s="36">
        <v>180101</v>
      </c>
      <c r="I30" s="8">
        <v>100</v>
      </c>
      <c r="J30" s="57" t="str">
        <f t="shared" si="0"/>
        <v>110/11KV MRS</v>
      </c>
      <c r="K30" s="57" t="s">
        <v>404</v>
      </c>
      <c r="L30" s="57" t="str">
        <f t="shared" si="1"/>
        <v>20030093101</v>
      </c>
      <c r="M30" s="41">
        <v>20030072019</v>
      </c>
      <c r="N30" s="41"/>
      <c r="O30" s="41"/>
      <c r="P30" s="64" t="s">
        <v>412</v>
      </c>
      <c r="Q30" s="64" t="s">
        <v>436</v>
      </c>
      <c r="R30" s="80">
        <v>39417</v>
      </c>
      <c r="S30" s="64">
        <v>83.33</v>
      </c>
      <c r="T30" s="41" t="s">
        <v>280</v>
      </c>
      <c r="U30" s="41">
        <v>30</v>
      </c>
      <c r="V30" s="41" t="s">
        <v>281</v>
      </c>
      <c r="W30" s="41">
        <v>40</v>
      </c>
      <c r="X30" s="82">
        <f t="shared" si="3"/>
        <v>1.3333333333333333</v>
      </c>
      <c r="Y30" s="82">
        <v>1.3333333333333333</v>
      </c>
      <c r="Z30" s="41" t="s">
        <v>369</v>
      </c>
      <c r="AA30" s="61">
        <v>280050610</v>
      </c>
      <c r="AB30" s="41"/>
      <c r="AC30" s="41" t="s">
        <v>399</v>
      </c>
      <c r="AD30" s="69">
        <v>13.9306941</v>
      </c>
      <c r="AE30" s="69">
        <v>75.582796299999998</v>
      </c>
      <c r="AF30" s="68" t="str">
        <f t="shared" si="2"/>
        <v>http://maps.google.com/maps?q=loc:13.9306941,75.5827963</v>
      </c>
      <c r="AH30" s="2" t="s">
        <v>472</v>
      </c>
      <c r="AI30" s="2">
        <v>365</v>
      </c>
    </row>
    <row r="31" spans="1:36">
      <c r="A31" s="41" t="s">
        <v>62</v>
      </c>
      <c r="B31" s="11" t="s">
        <v>171</v>
      </c>
      <c r="C31" s="11">
        <v>30</v>
      </c>
      <c r="D31" s="88" t="str">
        <f>VLOOKUP(A31,[1]dtlms!$L:$N,3,0)</f>
        <v>RATHAN CHAND</v>
      </c>
      <c r="E31" s="17" t="s">
        <v>63</v>
      </c>
      <c r="F31" s="38" t="s">
        <v>241</v>
      </c>
      <c r="G31" s="91" t="s">
        <v>469</v>
      </c>
      <c r="H31" s="83">
        <v>180413</v>
      </c>
      <c r="I31" s="11">
        <v>25</v>
      </c>
      <c r="J31" s="57" t="str">
        <f t="shared" si="0"/>
        <v>110/11KV MANDLI</v>
      </c>
      <c r="K31" s="57" t="s">
        <v>403</v>
      </c>
      <c r="L31" s="57" t="str">
        <f t="shared" si="1"/>
        <v>20030093118</v>
      </c>
      <c r="M31" s="41">
        <v>20030089717</v>
      </c>
      <c r="N31" s="41"/>
      <c r="O31" s="41"/>
      <c r="P31" s="64" t="s">
        <v>418</v>
      </c>
      <c r="Q31" s="64">
        <v>12654368</v>
      </c>
      <c r="R31" s="80">
        <v>41244</v>
      </c>
      <c r="S31" s="64">
        <v>2500</v>
      </c>
      <c r="T31" s="41">
        <v>1</v>
      </c>
      <c r="U31" s="41">
        <v>1</v>
      </c>
      <c r="V31" s="41" t="s">
        <v>282</v>
      </c>
      <c r="W31" s="41">
        <v>10</v>
      </c>
      <c r="X31" s="82">
        <f t="shared" si="3"/>
        <v>10</v>
      </c>
      <c r="Y31" s="82">
        <v>10</v>
      </c>
      <c r="Z31" s="41" t="s">
        <v>376</v>
      </c>
      <c r="AA31" s="61" t="s">
        <v>301</v>
      </c>
      <c r="AB31" s="41"/>
      <c r="AC31" s="41" t="s">
        <v>399</v>
      </c>
      <c r="AD31" s="69">
        <v>13.92420474</v>
      </c>
      <c r="AE31" s="69">
        <v>75.576890370000001</v>
      </c>
      <c r="AF31" s="68" t="str">
        <f t="shared" si="2"/>
        <v>http://maps.google.com/maps?q=loc:13.92420474,75.57689037</v>
      </c>
      <c r="AH31" s="2" t="s">
        <v>473</v>
      </c>
      <c r="AI31" s="2">
        <v>363</v>
      </c>
    </row>
    <row r="32" spans="1:36">
      <c r="A32" s="41" t="s">
        <v>64</v>
      </c>
      <c r="B32" s="11" t="s">
        <v>171</v>
      </c>
      <c r="C32" s="11">
        <v>31</v>
      </c>
      <c r="D32" s="88" t="str">
        <f>VLOOKUP(A32,[1]dtlms!$L:$N,3,0)</f>
        <v>VINAYAKA COMPLEX</v>
      </c>
      <c r="E32" s="13" t="s">
        <v>65</v>
      </c>
      <c r="F32" s="38" t="s">
        <v>5</v>
      </c>
      <c r="G32" s="91" t="s">
        <v>468</v>
      </c>
      <c r="H32" s="83">
        <v>180101</v>
      </c>
      <c r="I32" s="11">
        <v>100</v>
      </c>
      <c r="J32" s="57" t="str">
        <f t="shared" si="0"/>
        <v>110/11KV MRS</v>
      </c>
      <c r="K32" s="57" t="s">
        <v>403</v>
      </c>
      <c r="L32" s="57" t="str">
        <f t="shared" si="1"/>
        <v>20030093101</v>
      </c>
      <c r="M32" s="41">
        <v>20030071949</v>
      </c>
      <c r="N32" s="41"/>
      <c r="O32" s="41"/>
      <c r="P32" s="64" t="s">
        <v>412</v>
      </c>
      <c r="Q32" s="64" t="s">
        <v>437</v>
      </c>
      <c r="R32" s="80">
        <v>39448</v>
      </c>
      <c r="S32" s="64">
        <v>83.33</v>
      </c>
      <c r="T32" s="41" t="s">
        <v>280</v>
      </c>
      <c r="U32" s="41">
        <v>30</v>
      </c>
      <c r="V32" s="41" t="s">
        <v>280</v>
      </c>
      <c r="W32" s="41">
        <v>30</v>
      </c>
      <c r="X32" s="82">
        <f t="shared" si="3"/>
        <v>1</v>
      </c>
      <c r="Y32" s="82">
        <v>1</v>
      </c>
      <c r="Z32" s="41" t="s">
        <v>377</v>
      </c>
      <c r="AA32" s="61" t="s">
        <v>302</v>
      </c>
      <c r="AB32" s="41"/>
      <c r="AC32" s="41" t="s">
        <v>399</v>
      </c>
      <c r="AD32" s="69">
        <v>13.930099027900001</v>
      </c>
      <c r="AE32" s="69">
        <v>75.578614512510001</v>
      </c>
      <c r="AF32" s="68" t="str">
        <f t="shared" si="2"/>
        <v>http://maps.google.com/maps?q=loc:13.9300990279,75.57861451251</v>
      </c>
    </row>
    <row r="33" spans="1:35">
      <c r="A33" s="41" t="s">
        <v>66</v>
      </c>
      <c r="B33" s="8" t="s">
        <v>171</v>
      </c>
      <c r="C33" s="8">
        <v>32</v>
      </c>
      <c r="D33" s="88" t="str">
        <f>VLOOKUP(A33,[1]dtlms!$L:$N,3,0)</f>
        <v>BARMAPPA NAGARA</v>
      </c>
      <c r="E33" s="15" t="s">
        <v>17</v>
      </c>
      <c r="F33" s="20" t="s">
        <v>239</v>
      </c>
      <c r="G33" s="92" t="s">
        <v>470</v>
      </c>
      <c r="H33" s="36">
        <v>180420</v>
      </c>
      <c r="I33" s="8">
        <v>100</v>
      </c>
      <c r="J33" s="57" t="str">
        <f t="shared" si="0"/>
        <v>110/11KV MANDLI</v>
      </c>
      <c r="K33" s="57" t="s">
        <v>404</v>
      </c>
      <c r="L33" s="57">
        <f t="shared" si="1"/>
        <v>0</v>
      </c>
      <c r="M33" s="41">
        <v>20030072221</v>
      </c>
      <c r="N33" s="41" t="s">
        <v>454</v>
      </c>
      <c r="O33" s="41"/>
      <c r="P33" s="64" t="s">
        <v>412</v>
      </c>
      <c r="Q33" s="64" t="s">
        <v>438</v>
      </c>
      <c r="R33" s="80">
        <v>39448</v>
      </c>
      <c r="S33" s="64">
        <v>83.33</v>
      </c>
      <c r="T33" s="41" t="s">
        <v>280</v>
      </c>
      <c r="U33" s="41">
        <v>30</v>
      </c>
      <c r="V33" s="41" t="s">
        <v>280</v>
      </c>
      <c r="W33" s="41">
        <v>30</v>
      </c>
      <c r="X33" s="82">
        <f t="shared" si="3"/>
        <v>1</v>
      </c>
      <c r="Y33" s="82">
        <v>1</v>
      </c>
      <c r="Z33" s="41" t="s">
        <v>378</v>
      </c>
      <c r="AA33" s="61" t="s">
        <v>303</v>
      </c>
      <c r="AB33" s="41"/>
      <c r="AC33" s="41" t="s">
        <v>399</v>
      </c>
      <c r="AD33" s="69">
        <v>13.9272972</v>
      </c>
      <c r="AE33" s="69">
        <v>75.573337100000003</v>
      </c>
      <c r="AF33" s="68" t="str">
        <f t="shared" si="2"/>
        <v>http://maps.google.com/maps?q=loc:13.9272972,75.5733371</v>
      </c>
    </row>
    <row r="34" spans="1:35">
      <c r="A34" s="41" t="s">
        <v>67</v>
      </c>
      <c r="B34" s="8" t="s">
        <v>171</v>
      </c>
      <c r="C34" s="8">
        <v>33</v>
      </c>
      <c r="D34" s="88" t="str">
        <f>VLOOKUP(A34,[1]dtlms!$L:$N,3,0)</f>
        <v>KR PURAM</v>
      </c>
      <c r="E34" s="14" t="s">
        <v>68</v>
      </c>
      <c r="F34" s="36" t="s">
        <v>242</v>
      </c>
      <c r="G34" s="91" t="s">
        <v>471</v>
      </c>
      <c r="H34" s="36">
        <v>180403</v>
      </c>
      <c r="I34" s="8">
        <v>250</v>
      </c>
      <c r="J34" s="57" t="str">
        <f t="shared" ref="J34:J66" si="4">IF(F34="MRS F1","110/11KV MRS","110/11KV MANDLI")</f>
        <v>110/11KV MANDLI</v>
      </c>
      <c r="K34" s="57" t="s">
        <v>404</v>
      </c>
      <c r="L34" s="57" t="str">
        <f t="shared" ref="L34:L65" si="5">VLOOKUP(F34,$AH$1:$AI$14,2,0)</f>
        <v>20030093123</v>
      </c>
      <c r="M34" s="41">
        <v>20030089603</v>
      </c>
      <c r="N34" s="41" t="s">
        <v>454</v>
      </c>
      <c r="O34" s="41"/>
      <c r="P34" s="64" t="s">
        <v>412</v>
      </c>
      <c r="Q34" s="64" t="s">
        <v>439</v>
      </c>
      <c r="R34" s="80">
        <v>39448</v>
      </c>
      <c r="S34" s="64">
        <v>31.25</v>
      </c>
      <c r="T34" s="41" t="s">
        <v>278</v>
      </c>
      <c r="U34" s="41">
        <v>80</v>
      </c>
      <c r="V34" s="41" t="s">
        <v>278</v>
      </c>
      <c r="W34" s="41">
        <v>80</v>
      </c>
      <c r="X34" s="82">
        <f t="shared" si="3"/>
        <v>1</v>
      </c>
      <c r="Y34" s="82">
        <v>1</v>
      </c>
      <c r="Z34" s="41" t="s">
        <v>369</v>
      </c>
      <c r="AA34" s="61" t="s">
        <v>333</v>
      </c>
      <c r="AB34" s="41"/>
      <c r="AC34" s="41" t="s">
        <v>399</v>
      </c>
      <c r="AD34" s="69">
        <v>13.9277833</v>
      </c>
      <c r="AE34" s="69">
        <v>75.5728668</v>
      </c>
      <c r="AF34" s="68" t="str">
        <f t="shared" ref="AF34:AF65" si="6">HYPERLINK("http://maps.google.com/maps?q=loc:"&amp;AD34&amp;","&amp;AE34)</f>
        <v>http://maps.google.com/maps?q=loc:13.9277833,75.5728668</v>
      </c>
      <c r="AH34" s="41" t="s">
        <v>482</v>
      </c>
      <c r="AI34" s="41" t="s">
        <v>485</v>
      </c>
    </row>
    <row r="35" spans="1:35">
      <c r="A35" s="41" t="s">
        <v>69</v>
      </c>
      <c r="B35" s="8" t="s">
        <v>171</v>
      </c>
      <c r="C35" s="8">
        <v>34</v>
      </c>
      <c r="D35" s="88" t="str">
        <f>VLOOKUP(A35,[1]dtlms!$L:$N,3,0)</f>
        <v>THIRUPALAIAH</v>
      </c>
      <c r="E35" s="15" t="s">
        <v>70</v>
      </c>
      <c r="F35" s="36" t="s">
        <v>5</v>
      </c>
      <c r="G35" s="91" t="s">
        <v>468</v>
      </c>
      <c r="H35" s="36">
        <v>180101</v>
      </c>
      <c r="I35" s="8">
        <v>250</v>
      </c>
      <c r="J35" s="57" t="str">
        <f t="shared" si="4"/>
        <v>110/11KV MRS</v>
      </c>
      <c r="K35" s="57" t="s">
        <v>404</v>
      </c>
      <c r="L35" s="57" t="str">
        <f t="shared" si="5"/>
        <v>20030093101</v>
      </c>
      <c r="M35" s="41">
        <v>20030072117</v>
      </c>
      <c r="N35" s="41"/>
      <c r="O35" s="41"/>
      <c r="P35" s="64" t="s">
        <v>412</v>
      </c>
      <c r="Q35" s="64" t="s">
        <v>440</v>
      </c>
      <c r="R35" s="80">
        <v>39448</v>
      </c>
      <c r="S35" s="64">
        <v>31.25</v>
      </c>
      <c r="T35" s="41" t="s">
        <v>278</v>
      </c>
      <c r="U35" s="41">
        <v>80</v>
      </c>
      <c r="V35" s="41" t="s">
        <v>278</v>
      </c>
      <c r="W35" s="41">
        <v>80</v>
      </c>
      <c r="X35" s="82">
        <f t="shared" si="3"/>
        <v>1</v>
      </c>
      <c r="Y35" s="82">
        <v>1</v>
      </c>
      <c r="Z35" s="41" t="s">
        <v>369</v>
      </c>
      <c r="AA35" s="61" t="s">
        <v>334</v>
      </c>
      <c r="AB35" s="41"/>
      <c r="AC35" s="41" t="s">
        <v>399</v>
      </c>
      <c r="AD35" s="69">
        <v>13.928153275990001</v>
      </c>
      <c r="AE35" s="69">
        <v>75.57824515435</v>
      </c>
      <c r="AF35" s="68" t="str">
        <f t="shared" si="6"/>
        <v>http://maps.google.com/maps?q=loc:13.92815327599,75.57824515435</v>
      </c>
      <c r="AH35" s="41" t="s">
        <v>483</v>
      </c>
      <c r="AI35" s="41" t="s">
        <v>486</v>
      </c>
    </row>
    <row r="36" spans="1:35">
      <c r="A36" s="41" t="s">
        <v>71</v>
      </c>
      <c r="B36" s="8" t="s">
        <v>171</v>
      </c>
      <c r="C36" s="8">
        <v>35</v>
      </c>
      <c r="D36" s="88" t="str">
        <f>VLOOKUP(A36,[1]dtlms!$L:$N,3,0)</f>
        <v>KUMBARGUNDI</v>
      </c>
      <c r="E36" s="14" t="s">
        <v>23</v>
      </c>
      <c r="F36" s="36" t="s">
        <v>241</v>
      </c>
      <c r="G36" s="91" t="s">
        <v>469</v>
      </c>
      <c r="H36" s="36">
        <v>180413</v>
      </c>
      <c r="I36" s="8">
        <v>100</v>
      </c>
      <c r="J36" s="57" t="str">
        <f t="shared" si="4"/>
        <v>110/11KV MANDLI</v>
      </c>
      <c r="K36" s="57" t="s">
        <v>404</v>
      </c>
      <c r="L36" s="57" t="str">
        <f t="shared" si="5"/>
        <v>20030093118</v>
      </c>
      <c r="M36" s="41">
        <v>20030089723</v>
      </c>
      <c r="N36" s="41"/>
      <c r="O36" s="41"/>
      <c r="P36" s="64" t="s">
        <v>418</v>
      </c>
      <c r="Q36" s="64" t="s">
        <v>441</v>
      </c>
      <c r="R36" s="80">
        <v>39417</v>
      </c>
      <c r="S36" s="64">
        <v>125</v>
      </c>
      <c r="T36" s="41" t="s">
        <v>279</v>
      </c>
      <c r="U36" s="41">
        <v>20</v>
      </c>
      <c r="V36" s="41" t="s">
        <v>279</v>
      </c>
      <c r="W36" s="41">
        <v>20</v>
      </c>
      <c r="X36" s="82">
        <f t="shared" si="3"/>
        <v>1</v>
      </c>
      <c r="Y36" s="82">
        <v>1</v>
      </c>
      <c r="Z36" s="41" t="s">
        <v>369</v>
      </c>
      <c r="AA36" s="61" t="s">
        <v>335</v>
      </c>
      <c r="AB36" s="41"/>
      <c r="AC36" s="41" t="s">
        <v>399</v>
      </c>
      <c r="AD36" s="69">
        <v>13.9238717693125</v>
      </c>
      <c r="AE36" s="69">
        <v>75.577175861892698</v>
      </c>
      <c r="AF36" s="68" t="str">
        <f t="shared" si="6"/>
        <v>http://maps.google.com/maps?q=loc:13.9238717693125,75.5771758618927</v>
      </c>
      <c r="AH36" s="41" t="s">
        <v>484</v>
      </c>
      <c r="AI36" s="41" t="s">
        <v>487</v>
      </c>
    </row>
    <row r="37" spans="1:35">
      <c r="A37" s="41" t="s">
        <v>72</v>
      </c>
      <c r="B37" s="8" t="s">
        <v>171</v>
      </c>
      <c r="C37" s="8">
        <v>36</v>
      </c>
      <c r="D37" s="88" t="str">
        <f>VLOOKUP(A37,[1]dtlms!$L:$N,3,0)</f>
        <v>RELIANCE KUMBARGUNDI</v>
      </c>
      <c r="E37" s="14" t="s">
        <v>73</v>
      </c>
      <c r="F37" s="36" t="s">
        <v>241</v>
      </c>
      <c r="G37" s="91" t="s">
        <v>469</v>
      </c>
      <c r="H37" s="36">
        <v>180413</v>
      </c>
      <c r="I37" s="8">
        <v>100</v>
      </c>
      <c r="J37" s="57" t="str">
        <f t="shared" si="4"/>
        <v>110/11KV MANDLI</v>
      </c>
      <c r="K37" s="57" t="s">
        <v>404</v>
      </c>
      <c r="L37" s="57" t="str">
        <f t="shared" si="5"/>
        <v>20030093118</v>
      </c>
      <c r="M37" s="41">
        <v>20030089720</v>
      </c>
      <c r="N37" s="41"/>
      <c r="O37" s="41"/>
      <c r="P37" s="64" t="s">
        <v>418</v>
      </c>
      <c r="Q37" s="64" t="s">
        <v>442</v>
      </c>
      <c r="R37" s="80">
        <v>39448</v>
      </c>
      <c r="S37" s="64">
        <v>125</v>
      </c>
      <c r="T37" s="41" t="s">
        <v>279</v>
      </c>
      <c r="U37" s="41">
        <v>20</v>
      </c>
      <c r="V37" s="41" t="s">
        <v>279</v>
      </c>
      <c r="W37" s="41">
        <v>20</v>
      </c>
      <c r="X37" s="82">
        <f t="shared" si="3"/>
        <v>1</v>
      </c>
      <c r="Y37" s="82">
        <v>1</v>
      </c>
      <c r="Z37" s="41" t="s">
        <v>369</v>
      </c>
      <c r="AA37" s="61" t="s">
        <v>336</v>
      </c>
      <c r="AB37" s="41"/>
      <c r="AC37" s="41" t="s">
        <v>399</v>
      </c>
      <c r="AD37" s="69">
        <v>13.9239931609912</v>
      </c>
      <c r="AE37" s="69">
        <v>75.577388096160703</v>
      </c>
      <c r="AF37" s="68" t="str">
        <f t="shared" si="6"/>
        <v>http://maps.google.com/maps?q=loc:13.9239931609912,75.5773880961607</v>
      </c>
    </row>
    <row r="38" spans="1:35">
      <c r="A38" s="41" t="s">
        <v>74</v>
      </c>
      <c r="B38" s="11" t="s">
        <v>171</v>
      </c>
      <c r="C38" s="11">
        <v>37</v>
      </c>
      <c r="D38" s="88" t="str">
        <f>VLOOKUP(A38,[1]dtlms!$L:$N,3,0)</f>
        <v>JAMIYA MASEEDI</v>
      </c>
      <c r="E38" s="13" t="s">
        <v>75</v>
      </c>
      <c r="F38" s="37" t="s">
        <v>239</v>
      </c>
      <c r="G38" s="92" t="s">
        <v>470</v>
      </c>
      <c r="H38" s="83">
        <v>180420</v>
      </c>
      <c r="I38" s="11">
        <v>250</v>
      </c>
      <c r="J38" s="57" t="str">
        <f t="shared" si="4"/>
        <v>110/11KV MANDLI</v>
      </c>
      <c r="K38" s="57" t="s">
        <v>403</v>
      </c>
      <c r="L38" s="57">
        <f t="shared" si="5"/>
        <v>0</v>
      </c>
      <c r="M38" s="41">
        <v>20030072142</v>
      </c>
      <c r="N38" s="41" t="s">
        <v>454</v>
      </c>
      <c r="O38" s="41" t="s">
        <v>454</v>
      </c>
      <c r="P38" s="64" t="s">
        <v>412</v>
      </c>
      <c r="Q38" s="64" t="s">
        <v>443</v>
      </c>
      <c r="R38" s="80">
        <v>39448</v>
      </c>
      <c r="S38" s="64">
        <v>31.25</v>
      </c>
      <c r="T38" s="41" t="s">
        <v>278</v>
      </c>
      <c r="U38" s="41">
        <v>80</v>
      </c>
      <c r="V38" s="41" t="s">
        <v>278</v>
      </c>
      <c r="W38" s="41">
        <v>80</v>
      </c>
      <c r="X38" s="82">
        <f t="shared" si="3"/>
        <v>1</v>
      </c>
      <c r="Y38" s="82">
        <v>1</v>
      </c>
      <c r="Z38" s="41" t="s">
        <v>407</v>
      </c>
      <c r="AA38" s="61" t="s">
        <v>304</v>
      </c>
      <c r="AB38" s="41"/>
      <c r="AC38" s="41" t="s">
        <v>399</v>
      </c>
      <c r="AD38" s="69">
        <v>13.9270967</v>
      </c>
      <c r="AE38" s="69">
        <v>75.5758838</v>
      </c>
      <c r="AF38" s="68" t="str">
        <f t="shared" si="6"/>
        <v>http://maps.google.com/maps?q=loc:13.9270967,75.5758838</v>
      </c>
    </row>
    <row r="39" spans="1:35">
      <c r="A39" s="41" t="s">
        <v>76</v>
      </c>
      <c r="B39" s="8" t="s">
        <v>171</v>
      </c>
      <c r="C39" s="8">
        <v>38</v>
      </c>
      <c r="D39" s="88" t="str">
        <f>VLOOKUP(A39,[1]dtlms!$L:$N,3,0)</f>
        <v>DEEPAK PETROL BUNK</v>
      </c>
      <c r="E39" s="15" t="s">
        <v>77</v>
      </c>
      <c r="F39" s="36" t="s">
        <v>5</v>
      </c>
      <c r="G39" s="91" t="s">
        <v>468</v>
      </c>
      <c r="H39" s="36">
        <v>180101</v>
      </c>
      <c r="I39" s="8">
        <v>63</v>
      </c>
      <c r="J39" s="57" t="str">
        <f t="shared" si="4"/>
        <v>110/11KV MRS</v>
      </c>
      <c r="K39" s="57" t="s">
        <v>404</v>
      </c>
      <c r="L39" s="57" t="str">
        <f t="shared" si="5"/>
        <v>20030093101</v>
      </c>
      <c r="M39" s="41">
        <v>20030071948</v>
      </c>
      <c r="N39" s="41"/>
      <c r="O39" s="41"/>
      <c r="P39" s="64" t="s">
        <v>412</v>
      </c>
      <c r="Q39" s="64" t="s">
        <v>444</v>
      </c>
      <c r="R39" s="80">
        <v>39448</v>
      </c>
      <c r="S39" s="64">
        <v>125</v>
      </c>
      <c r="T39" s="41" t="s">
        <v>279</v>
      </c>
      <c r="U39" s="41">
        <v>20</v>
      </c>
      <c r="V39" s="41" t="s">
        <v>279</v>
      </c>
      <c r="W39" s="41">
        <v>20</v>
      </c>
      <c r="X39" s="82">
        <f t="shared" si="3"/>
        <v>1</v>
      </c>
      <c r="Y39" s="82">
        <v>1</v>
      </c>
      <c r="Z39" s="41" t="s">
        <v>369</v>
      </c>
      <c r="AA39" s="61">
        <v>3321090163</v>
      </c>
      <c r="AB39" s="41"/>
      <c r="AC39" s="41" t="s">
        <v>399</v>
      </c>
      <c r="AD39" s="69">
        <v>13.930102</v>
      </c>
      <c r="AE39" s="69">
        <v>75.578841100000005</v>
      </c>
      <c r="AF39" s="68" t="str">
        <f t="shared" si="6"/>
        <v>http://maps.google.com/maps?q=loc:13.930102,75.5788411</v>
      </c>
    </row>
    <row r="40" spans="1:35">
      <c r="A40" s="41" t="s">
        <v>78</v>
      </c>
      <c r="B40" s="8" t="s">
        <v>171</v>
      </c>
      <c r="C40" s="8">
        <v>39</v>
      </c>
      <c r="D40" s="88" t="str">
        <f>VLOOKUP(A40,[1]dtlms!$L:$N,3,0)</f>
        <v>JAIN MANDIR</v>
      </c>
      <c r="E40" s="15" t="s">
        <v>79</v>
      </c>
      <c r="F40" s="36" t="s">
        <v>5</v>
      </c>
      <c r="G40" s="91" t="s">
        <v>468</v>
      </c>
      <c r="H40" s="36">
        <v>180101</v>
      </c>
      <c r="I40" s="8">
        <v>100</v>
      </c>
      <c r="J40" s="57" t="str">
        <f t="shared" si="4"/>
        <v>110/11KV MRS</v>
      </c>
      <c r="K40" s="57" t="s">
        <v>404</v>
      </c>
      <c r="L40" s="57" t="str">
        <f t="shared" si="5"/>
        <v>20030093101</v>
      </c>
      <c r="M40" s="41">
        <v>20030072017</v>
      </c>
      <c r="N40" s="41"/>
      <c r="O40" s="41"/>
      <c r="P40" s="64" t="s">
        <v>412</v>
      </c>
      <c r="Q40" s="64" t="s">
        <v>445</v>
      </c>
      <c r="R40" s="80">
        <v>39448</v>
      </c>
      <c r="S40" s="64">
        <v>83.33</v>
      </c>
      <c r="T40" s="41" t="s">
        <v>280</v>
      </c>
      <c r="U40" s="41">
        <v>30</v>
      </c>
      <c r="V40" s="41" t="s">
        <v>280</v>
      </c>
      <c r="W40" s="41">
        <v>30</v>
      </c>
      <c r="X40" s="82">
        <f t="shared" si="3"/>
        <v>1</v>
      </c>
      <c r="Y40" s="82">
        <v>1</v>
      </c>
      <c r="Z40" s="41" t="s">
        <v>379</v>
      </c>
      <c r="AA40" s="61">
        <v>1459444</v>
      </c>
      <c r="AB40" s="41"/>
      <c r="AC40" s="41" t="s">
        <v>399</v>
      </c>
      <c r="AD40" s="69">
        <v>13.92590202493</v>
      </c>
      <c r="AE40" s="69">
        <v>75.579891399730002</v>
      </c>
      <c r="AF40" s="68" t="str">
        <f t="shared" si="6"/>
        <v>http://maps.google.com/maps?q=loc:13.92590202493,75.57989139973</v>
      </c>
    </row>
    <row r="41" spans="1:35">
      <c r="A41" s="41" t="s">
        <v>80</v>
      </c>
      <c r="B41" s="8" t="s">
        <v>171</v>
      </c>
      <c r="C41" s="8">
        <v>40</v>
      </c>
      <c r="D41" s="88" t="str">
        <f>VLOOKUP(A41,[1]dtlms!$L:$N,3,0)</f>
        <v>TULUJA BHAVANI</v>
      </c>
      <c r="E41" s="15" t="s">
        <v>81</v>
      </c>
      <c r="F41" s="36" t="s">
        <v>5</v>
      </c>
      <c r="G41" s="91" t="s">
        <v>468</v>
      </c>
      <c r="H41" s="36">
        <v>180101</v>
      </c>
      <c r="I41" s="8">
        <v>100</v>
      </c>
      <c r="J41" s="57" t="str">
        <f t="shared" si="4"/>
        <v>110/11KV MRS</v>
      </c>
      <c r="K41" s="57" t="s">
        <v>404</v>
      </c>
      <c r="L41" s="57" t="str">
        <f t="shared" si="5"/>
        <v>20030093101</v>
      </c>
      <c r="M41" s="41">
        <v>20030072276</v>
      </c>
      <c r="N41" s="41"/>
      <c r="O41" s="41"/>
      <c r="P41" s="64" t="s">
        <v>412</v>
      </c>
      <c r="Q41" s="64" t="s">
        <v>446</v>
      </c>
      <c r="R41" s="80">
        <v>39448</v>
      </c>
      <c r="S41" s="64">
        <v>83.33</v>
      </c>
      <c r="T41" s="41" t="s">
        <v>280</v>
      </c>
      <c r="U41" s="41">
        <v>30</v>
      </c>
      <c r="V41" s="41" t="s">
        <v>280</v>
      </c>
      <c r="W41" s="41">
        <v>30</v>
      </c>
      <c r="X41" s="82">
        <f t="shared" si="3"/>
        <v>1</v>
      </c>
      <c r="Y41" s="82">
        <v>1</v>
      </c>
      <c r="Z41" s="41" t="s">
        <v>379</v>
      </c>
      <c r="AA41" s="61">
        <v>1459449</v>
      </c>
      <c r="AB41" s="41"/>
      <c r="AC41" s="41" t="s">
        <v>399</v>
      </c>
      <c r="AD41" s="69">
        <v>13.9252977</v>
      </c>
      <c r="AE41" s="69">
        <v>75.578044199999994</v>
      </c>
      <c r="AF41" s="68" t="str">
        <f t="shared" si="6"/>
        <v>http://maps.google.com/maps?q=loc:13.9252977,75.5780442</v>
      </c>
    </row>
    <row r="42" spans="1:35">
      <c r="A42" s="41" t="s">
        <v>82</v>
      </c>
      <c r="B42" s="8" t="s">
        <v>171</v>
      </c>
      <c r="C42" s="8">
        <v>41</v>
      </c>
      <c r="D42" s="88" t="str">
        <f>VLOOKUP(A42,[1]dtlms!$L:$N,3,0)</f>
        <v>KASTURBA</v>
      </c>
      <c r="E42" s="15" t="s">
        <v>83</v>
      </c>
      <c r="F42" s="20" t="s">
        <v>239</v>
      </c>
      <c r="G42" s="92" t="s">
        <v>470</v>
      </c>
      <c r="H42" s="36">
        <v>180420</v>
      </c>
      <c r="I42" s="8">
        <v>250</v>
      </c>
      <c r="J42" s="57" t="str">
        <f t="shared" si="4"/>
        <v>110/11KV MANDLI</v>
      </c>
      <c r="K42" s="57" t="s">
        <v>404</v>
      </c>
      <c r="L42" s="57">
        <f t="shared" si="5"/>
        <v>0</v>
      </c>
      <c r="M42" s="41">
        <v>20030072237</v>
      </c>
      <c r="N42" s="41" t="s">
        <v>454</v>
      </c>
      <c r="O42" s="41"/>
      <c r="P42" s="64" t="s">
        <v>412</v>
      </c>
      <c r="Q42" s="64" t="s">
        <v>447</v>
      </c>
      <c r="R42" s="80">
        <v>39448</v>
      </c>
      <c r="S42" s="64">
        <v>31.25</v>
      </c>
      <c r="T42" s="41" t="s">
        <v>278</v>
      </c>
      <c r="U42" s="41">
        <v>80</v>
      </c>
      <c r="V42" s="41" t="s">
        <v>278</v>
      </c>
      <c r="W42" s="41">
        <v>80</v>
      </c>
      <c r="X42" s="82">
        <f t="shared" si="3"/>
        <v>1</v>
      </c>
      <c r="Y42" s="82">
        <v>1</v>
      </c>
      <c r="Z42" s="41" t="s">
        <v>367</v>
      </c>
      <c r="AA42" s="61" t="s">
        <v>455</v>
      </c>
      <c r="AB42" s="41"/>
      <c r="AC42" s="41" t="s">
        <v>399</v>
      </c>
      <c r="AD42" s="69">
        <v>13.928770800000001</v>
      </c>
      <c r="AE42" s="69">
        <v>75.575208099999998</v>
      </c>
      <c r="AF42" s="68" t="str">
        <f t="shared" si="6"/>
        <v>http://maps.google.com/maps?q=loc:13.9287708,75.5752081</v>
      </c>
    </row>
    <row r="43" spans="1:35">
      <c r="A43" s="41" t="s">
        <v>84</v>
      </c>
      <c r="B43" s="11" t="s">
        <v>171</v>
      </c>
      <c r="C43" s="11">
        <v>42</v>
      </c>
      <c r="D43" s="88" t="str">
        <f>VLOOKUP(A43,[1]dtlms!$L:$N,3,0)</f>
        <v>VICTOR D SOUZA</v>
      </c>
      <c r="E43" s="13" t="s">
        <v>85</v>
      </c>
      <c r="F43" s="38" t="s">
        <v>5</v>
      </c>
      <c r="G43" s="91" t="s">
        <v>468</v>
      </c>
      <c r="H43" s="83">
        <v>180101</v>
      </c>
      <c r="I43" s="11">
        <v>63</v>
      </c>
      <c r="J43" s="57" t="str">
        <f t="shared" si="4"/>
        <v>110/11KV MRS</v>
      </c>
      <c r="K43" s="57" t="s">
        <v>403</v>
      </c>
      <c r="L43" s="57" t="str">
        <f t="shared" si="5"/>
        <v>20030093101</v>
      </c>
      <c r="M43" s="41">
        <v>20030072293</v>
      </c>
      <c r="N43" s="41"/>
      <c r="O43" s="41"/>
      <c r="P43" s="64" t="s">
        <v>412</v>
      </c>
      <c r="Q43" s="64">
        <v>12655603</v>
      </c>
      <c r="R43" s="80">
        <v>41244</v>
      </c>
      <c r="S43" s="64">
        <v>2500</v>
      </c>
      <c r="T43" s="41">
        <v>1</v>
      </c>
      <c r="U43" s="41">
        <v>1</v>
      </c>
      <c r="V43" s="41" t="s">
        <v>279</v>
      </c>
      <c r="W43" s="41">
        <v>20</v>
      </c>
      <c r="X43" s="82">
        <f t="shared" si="3"/>
        <v>20</v>
      </c>
      <c r="Y43" s="82">
        <v>20</v>
      </c>
      <c r="Z43" s="41" t="s">
        <v>380</v>
      </c>
      <c r="AA43" s="61" t="s">
        <v>337</v>
      </c>
      <c r="AB43" s="41"/>
      <c r="AC43" s="41" t="s">
        <v>399</v>
      </c>
      <c r="AD43" s="69">
        <v>13.9297699</v>
      </c>
      <c r="AE43" s="69">
        <v>75.580169799999993</v>
      </c>
      <c r="AF43" s="68" t="str">
        <f t="shared" si="6"/>
        <v>http://maps.google.com/maps?q=loc:13.9297699,75.5801698</v>
      </c>
    </row>
    <row r="44" spans="1:35">
      <c r="A44" s="41" t="s">
        <v>86</v>
      </c>
      <c r="B44" s="8" t="s">
        <v>171</v>
      </c>
      <c r="C44" s="8">
        <v>43</v>
      </c>
      <c r="D44" s="88" t="e">
        <f>VLOOKUP(A44,[1]dtlms!$L:$N,3,0)</f>
        <v>#N/A</v>
      </c>
      <c r="E44" s="15" t="s">
        <v>87</v>
      </c>
      <c r="F44" s="36" t="s">
        <v>5</v>
      </c>
      <c r="G44" s="91" t="s">
        <v>468</v>
      </c>
      <c r="H44" s="36">
        <v>180101</v>
      </c>
      <c r="I44" s="8">
        <v>100</v>
      </c>
      <c r="J44" s="57" t="str">
        <f t="shared" si="4"/>
        <v>110/11KV MRS</v>
      </c>
      <c r="K44" s="57" t="s">
        <v>404</v>
      </c>
      <c r="L44" s="57" t="str">
        <f t="shared" si="5"/>
        <v>20030093101</v>
      </c>
      <c r="M44" s="41">
        <v>20030072385</v>
      </c>
      <c r="N44" s="41"/>
      <c r="O44" s="41"/>
      <c r="P44" s="64" t="s">
        <v>412</v>
      </c>
      <c r="Q44" s="64">
        <v>12655604</v>
      </c>
      <c r="R44" s="80">
        <v>41244</v>
      </c>
      <c r="S44" s="64">
        <v>2500</v>
      </c>
      <c r="T44" s="41">
        <v>1</v>
      </c>
      <c r="U44" s="41">
        <v>1</v>
      </c>
      <c r="V44" s="41" t="s">
        <v>280</v>
      </c>
      <c r="W44" s="41">
        <v>30</v>
      </c>
      <c r="X44" s="82">
        <f t="shared" si="3"/>
        <v>30</v>
      </c>
      <c r="Y44" s="82">
        <v>30</v>
      </c>
      <c r="Z44" s="41" t="s">
        <v>380</v>
      </c>
      <c r="AA44" s="61" t="s">
        <v>305</v>
      </c>
      <c r="AB44" s="41"/>
      <c r="AC44" s="41" t="s">
        <v>399</v>
      </c>
      <c r="AD44" s="69">
        <v>13.931311030230001</v>
      </c>
      <c r="AE44" s="69">
        <v>75.587390369139996</v>
      </c>
      <c r="AF44" s="68" t="str">
        <f t="shared" si="6"/>
        <v>http://maps.google.com/maps?q=loc:13.93131103023,75.58739036914</v>
      </c>
    </row>
    <row r="45" spans="1:35">
      <c r="A45" s="41" t="s">
        <v>88</v>
      </c>
      <c r="B45" s="8" t="s">
        <v>171</v>
      </c>
      <c r="C45" s="8">
        <v>44</v>
      </c>
      <c r="D45" s="88" t="str">
        <f>VLOOKUP(A45,[1]dtlms!$L:$N,3,0)</f>
        <v>DIST TRAINING COLLEGE</v>
      </c>
      <c r="E45" s="15" t="s">
        <v>89</v>
      </c>
      <c r="F45" s="36" t="s">
        <v>5</v>
      </c>
      <c r="G45" s="91" t="s">
        <v>468</v>
      </c>
      <c r="H45" s="36">
        <v>180101</v>
      </c>
      <c r="I45" s="8">
        <v>25</v>
      </c>
      <c r="J45" s="57" t="str">
        <f t="shared" si="4"/>
        <v>110/11KV MRS</v>
      </c>
      <c r="K45" s="57" t="s">
        <v>404</v>
      </c>
      <c r="L45" s="57" t="str">
        <f t="shared" si="5"/>
        <v>20030093101</v>
      </c>
      <c r="M45" s="41">
        <v>20030072389</v>
      </c>
      <c r="N45" s="41"/>
      <c r="O45" s="41"/>
      <c r="P45" s="64" t="s">
        <v>412</v>
      </c>
      <c r="Q45" s="64">
        <v>12655605</v>
      </c>
      <c r="R45" s="80">
        <v>41244</v>
      </c>
      <c r="S45" s="64">
        <v>2500</v>
      </c>
      <c r="T45" s="41">
        <v>1</v>
      </c>
      <c r="U45" s="41">
        <v>1</v>
      </c>
      <c r="V45" s="41" t="s">
        <v>280</v>
      </c>
      <c r="W45" s="41">
        <v>30</v>
      </c>
      <c r="X45" s="82">
        <f t="shared" si="3"/>
        <v>30</v>
      </c>
      <c r="Y45" s="82">
        <v>30</v>
      </c>
      <c r="Z45" s="41" t="s">
        <v>380</v>
      </c>
      <c r="AA45" s="61" t="s">
        <v>306</v>
      </c>
      <c r="AB45" s="41"/>
      <c r="AC45" s="41" t="s">
        <v>399</v>
      </c>
      <c r="AD45" s="69">
        <v>13.9303214</v>
      </c>
      <c r="AE45" s="69">
        <v>75.5855253</v>
      </c>
      <c r="AF45" s="68" t="str">
        <f t="shared" si="6"/>
        <v>http://maps.google.com/maps?q=loc:13.9303214,75.5855253</v>
      </c>
    </row>
    <row r="46" spans="1:35">
      <c r="A46" s="41" t="s">
        <v>90</v>
      </c>
      <c r="B46" s="8" t="s">
        <v>171</v>
      </c>
      <c r="C46" s="8">
        <v>45</v>
      </c>
      <c r="D46" s="88" t="str">
        <f>VLOOKUP(A46,[1]dtlms!$L:$N,3,0)</f>
        <v>ARAVIND MOTORS</v>
      </c>
      <c r="E46" s="15" t="s">
        <v>91</v>
      </c>
      <c r="F46" s="36" t="s">
        <v>5</v>
      </c>
      <c r="G46" s="91" t="s">
        <v>468</v>
      </c>
      <c r="H46" s="36">
        <v>180101</v>
      </c>
      <c r="I46" s="8">
        <v>100</v>
      </c>
      <c r="J46" s="57" t="str">
        <f t="shared" si="4"/>
        <v>110/11KV MRS</v>
      </c>
      <c r="K46" s="57" t="s">
        <v>404</v>
      </c>
      <c r="L46" s="57" t="str">
        <f t="shared" si="5"/>
        <v>20030093101</v>
      </c>
      <c r="M46" s="41">
        <v>20030072323</v>
      </c>
      <c r="N46" s="41"/>
      <c r="O46" s="41"/>
      <c r="P46" s="64" t="s">
        <v>412</v>
      </c>
      <c r="Q46" s="64">
        <v>10363559</v>
      </c>
      <c r="R46" s="80">
        <v>40422</v>
      </c>
      <c r="S46" s="64">
        <v>2500</v>
      </c>
      <c r="T46" s="41">
        <v>1</v>
      </c>
      <c r="U46" s="41">
        <v>1</v>
      </c>
      <c r="V46" s="41" t="s">
        <v>280</v>
      </c>
      <c r="W46" s="41">
        <v>30</v>
      </c>
      <c r="X46" s="82">
        <f t="shared" si="3"/>
        <v>30</v>
      </c>
      <c r="Y46" s="82">
        <v>30</v>
      </c>
      <c r="Z46" s="41" t="s">
        <v>369</v>
      </c>
      <c r="AA46" s="61">
        <v>3310030010</v>
      </c>
      <c r="AB46" s="41"/>
      <c r="AC46" s="41" t="s">
        <v>399</v>
      </c>
      <c r="AD46" s="69">
        <v>13.9326294</v>
      </c>
      <c r="AE46" s="69">
        <v>75.583567700000003</v>
      </c>
      <c r="AF46" s="68" t="str">
        <f t="shared" si="6"/>
        <v>http://maps.google.com/maps?q=loc:13.9326294,75.5835677</v>
      </c>
    </row>
    <row r="47" spans="1:35">
      <c r="A47" s="41" t="s">
        <v>92</v>
      </c>
      <c r="B47" s="8" t="s">
        <v>171</v>
      </c>
      <c r="C47" s="8">
        <v>46</v>
      </c>
      <c r="D47" s="88" t="str">
        <f>VLOOKUP(A47,[1]dtlms!$L:$N,3,0)</f>
        <v>MTC</v>
      </c>
      <c r="E47" s="15" t="s">
        <v>93</v>
      </c>
      <c r="F47" s="36" t="s">
        <v>5</v>
      </c>
      <c r="G47" s="91" t="s">
        <v>468</v>
      </c>
      <c r="H47" s="36">
        <v>180101</v>
      </c>
      <c r="I47" s="8">
        <v>100</v>
      </c>
      <c r="J47" s="57" t="str">
        <f t="shared" si="4"/>
        <v>110/11KV MRS</v>
      </c>
      <c r="K47" s="57" t="s">
        <v>404</v>
      </c>
      <c r="L47" s="57" t="str">
        <f t="shared" si="5"/>
        <v>20030093101</v>
      </c>
      <c r="M47" s="41">
        <v>20030072331</v>
      </c>
      <c r="N47" s="41"/>
      <c r="O47" s="41"/>
      <c r="P47" s="64" t="s">
        <v>412</v>
      </c>
      <c r="Q47" s="64">
        <v>10363566</v>
      </c>
      <c r="R47" s="80">
        <v>40422</v>
      </c>
      <c r="S47" s="64">
        <v>2500</v>
      </c>
      <c r="T47" s="41">
        <v>1</v>
      </c>
      <c r="U47" s="41">
        <v>1</v>
      </c>
      <c r="V47" s="41" t="s">
        <v>280</v>
      </c>
      <c r="W47" s="41">
        <v>30</v>
      </c>
      <c r="X47" s="82">
        <f t="shared" si="3"/>
        <v>30</v>
      </c>
      <c r="Y47" s="82">
        <v>30</v>
      </c>
      <c r="Z47" s="41" t="s">
        <v>369</v>
      </c>
      <c r="AA47" s="61" t="s">
        <v>338</v>
      </c>
      <c r="AB47" s="41"/>
      <c r="AC47" s="41" t="s">
        <v>399</v>
      </c>
      <c r="AD47" s="69">
        <v>13.931530800000001</v>
      </c>
      <c r="AE47" s="69">
        <v>75.580816400000003</v>
      </c>
      <c r="AF47" s="68" t="str">
        <f t="shared" si="6"/>
        <v>http://maps.google.com/maps?q=loc:13.9315308,75.5808164</v>
      </c>
    </row>
    <row r="48" spans="1:35">
      <c r="A48" s="41" t="s">
        <v>94</v>
      </c>
      <c r="B48" s="8" t="s">
        <v>171</v>
      </c>
      <c r="C48" s="8">
        <v>47</v>
      </c>
      <c r="D48" s="88" t="str">
        <f>VLOOKUP(A48,[1]dtlms!$L:$N,3,0)</f>
        <v>KRISHNA CAFÉ</v>
      </c>
      <c r="E48" s="15" t="s">
        <v>95</v>
      </c>
      <c r="F48" s="36" t="s">
        <v>5</v>
      </c>
      <c r="G48" s="91" t="s">
        <v>468</v>
      </c>
      <c r="H48" s="36">
        <v>180101</v>
      </c>
      <c r="I48" s="8">
        <v>100</v>
      </c>
      <c r="J48" s="57" t="str">
        <f t="shared" si="4"/>
        <v>110/11KV MRS</v>
      </c>
      <c r="K48" s="57" t="s">
        <v>404</v>
      </c>
      <c r="L48" s="57" t="str">
        <f t="shared" si="5"/>
        <v>20030093101</v>
      </c>
      <c r="M48" s="41">
        <v>20030072340</v>
      </c>
      <c r="N48" s="41"/>
      <c r="O48" s="41"/>
      <c r="P48" s="64" t="s">
        <v>412</v>
      </c>
      <c r="Q48" s="64">
        <v>10257242</v>
      </c>
      <c r="R48" s="80">
        <v>40360</v>
      </c>
      <c r="S48" s="64">
        <v>2500</v>
      </c>
      <c r="T48" s="41">
        <v>1</v>
      </c>
      <c r="U48" s="41">
        <v>1</v>
      </c>
      <c r="V48" s="41" t="s">
        <v>278</v>
      </c>
      <c r="W48" s="41">
        <v>80</v>
      </c>
      <c r="X48" s="82">
        <f t="shared" si="3"/>
        <v>80</v>
      </c>
      <c r="Y48" s="82">
        <v>80</v>
      </c>
      <c r="Z48" s="41" t="s">
        <v>369</v>
      </c>
      <c r="AA48" s="61">
        <v>3310030006</v>
      </c>
      <c r="AB48" s="41"/>
      <c r="AC48" s="41" t="s">
        <v>399</v>
      </c>
      <c r="AD48" s="69">
        <v>13.9311405</v>
      </c>
      <c r="AE48" s="69">
        <v>75.58</v>
      </c>
      <c r="AF48" s="68" t="str">
        <f t="shared" si="6"/>
        <v>http://maps.google.com/maps?q=loc:13.9311405,75.58</v>
      </c>
    </row>
    <row r="49" spans="1:32">
      <c r="A49" s="41" t="s">
        <v>96</v>
      </c>
      <c r="B49" s="8" t="s">
        <v>171</v>
      </c>
      <c r="C49" s="8">
        <v>48</v>
      </c>
      <c r="D49" s="88" t="str">
        <f>VLOOKUP(A49,[1]dtlms!$L:$N,3,0)</f>
        <v>PARK TC</v>
      </c>
      <c r="E49" s="15" t="s">
        <v>97</v>
      </c>
      <c r="F49" s="36" t="s">
        <v>5</v>
      </c>
      <c r="G49" s="91" t="s">
        <v>468</v>
      </c>
      <c r="H49" s="36">
        <v>180101</v>
      </c>
      <c r="I49" s="8">
        <v>100</v>
      </c>
      <c r="J49" s="57" t="str">
        <f t="shared" si="4"/>
        <v>110/11KV MRS</v>
      </c>
      <c r="K49" s="57" t="s">
        <v>404</v>
      </c>
      <c r="L49" s="57" t="str">
        <f t="shared" si="5"/>
        <v>20030093101</v>
      </c>
      <c r="M49" s="41">
        <v>20030072263</v>
      </c>
      <c r="N49" s="41"/>
      <c r="O49" s="41"/>
      <c r="P49" s="64" t="s">
        <v>412</v>
      </c>
      <c r="Q49" s="64" t="s">
        <v>448</v>
      </c>
      <c r="R49" s="80">
        <v>37622</v>
      </c>
      <c r="S49" s="64">
        <v>31.25</v>
      </c>
      <c r="T49" s="41" t="s">
        <v>278</v>
      </c>
      <c r="U49" s="41">
        <v>80</v>
      </c>
      <c r="V49" s="41" t="s">
        <v>278</v>
      </c>
      <c r="W49" s="41">
        <v>80</v>
      </c>
      <c r="X49" s="82">
        <f t="shared" si="3"/>
        <v>1</v>
      </c>
      <c r="Y49" s="82">
        <v>1</v>
      </c>
      <c r="Z49" s="41" t="s">
        <v>382</v>
      </c>
      <c r="AA49" s="61" t="s">
        <v>339</v>
      </c>
      <c r="AB49" s="41"/>
      <c r="AC49" s="41" t="s">
        <v>399</v>
      </c>
      <c r="AD49" s="69">
        <v>13.926850699999999</v>
      </c>
      <c r="AE49" s="69">
        <v>75.577556200000004</v>
      </c>
      <c r="AF49" s="68" t="str">
        <f t="shared" si="6"/>
        <v>http://maps.google.com/maps?q=loc:13.9268507,75.5775562</v>
      </c>
    </row>
    <row r="50" spans="1:32">
      <c r="A50" s="41" t="s">
        <v>98</v>
      </c>
      <c r="B50" s="8" t="s">
        <v>171</v>
      </c>
      <c r="C50" s="8">
        <v>49</v>
      </c>
      <c r="D50" s="88" t="str">
        <f>VLOOKUP(A50,[1]dtlms!$L:$N,3,0)</f>
        <v>KANCHAN TEXTTILE</v>
      </c>
      <c r="E50" s="14" t="s">
        <v>99</v>
      </c>
      <c r="F50" s="36" t="s">
        <v>241</v>
      </c>
      <c r="G50" s="91" t="s">
        <v>469</v>
      </c>
      <c r="H50" s="36">
        <v>180413</v>
      </c>
      <c r="I50" s="8">
        <v>100</v>
      </c>
      <c r="J50" s="57" t="str">
        <f t="shared" si="4"/>
        <v>110/11KV MANDLI</v>
      </c>
      <c r="K50" s="57" t="s">
        <v>404</v>
      </c>
      <c r="L50" s="57" t="str">
        <f t="shared" si="5"/>
        <v>20030093118</v>
      </c>
      <c r="M50" s="41">
        <v>20030089674</v>
      </c>
      <c r="N50" s="41"/>
      <c r="O50" s="41"/>
      <c r="P50" s="64" t="s">
        <v>418</v>
      </c>
      <c r="Q50" s="64">
        <v>12654366</v>
      </c>
      <c r="R50" s="80">
        <v>41244</v>
      </c>
      <c r="S50" s="64">
        <v>2500</v>
      </c>
      <c r="T50" s="41">
        <v>1</v>
      </c>
      <c r="U50" s="41">
        <v>1</v>
      </c>
      <c r="V50" s="41" t="s">
        <v>280</v>
      </c>
      <c r="W50" s="41">
        <v>30</v>
      </c>
      <c r="X50" s="82">
        <f t="shared" si="3"/>
        <v>30</v>
      </c>
      <c r="Y50" s="82">
        <v>30</v>
      </c>
      <c r="Z50" s="41" t="s">
        <v>369</v>
      </c>
      <c r="AA50" s="61" t="s">
        <v>307</v>
      </c>
      <c r="AB50" s="41"/>
      <c r="AC50" s="41" t="s">
        <v>399</v>
      </c>
      <c r="AD50" s="69">
        <v>13.9253508</v>
      </c>
      <c r="AE50" s="69">
        <v>75.576247699999996</v>
      </c>
      <c r="AF50" s="68" t="str">
        <f t="shared" si="6"/>
        <v>http://maps.google.com/maps?q=loc:13.9253508,75.5762477</v>
      </c>
    </row>
    <row r="51" spans="1:32">
      <c r="A51" s="41" t="s">
        <v>100</v>
      </c>
      <c r="B51" s="8" t="s">
        <v>171</v>
      </c>
      <c r="C51" s="8">
        <v>50</v>
      </c>
      <c r="D51" s="88" t="str">
        <f>VLOOKUP(A51,[1]dtlms!$L:$N,3,0)</f>
        <v>SHARMA VIDIO</v>
      </c>
      <c r="E51" s="15" t="s">
        <v>101</v>
      </c>
      <c r="F51" s="36" t="s">
        <v>5</v>
      </c>
      <c r="G51" s="91" t="s">
        <v>468</v>
      </c>
      <c r="H51" s="36">
        <v>180101</v>
      </c>
      <c r="I51" s="8">
        <v>100</v>
      </c>
      <c r="J51" s="57" t="str">
        <f t="shared" si="4"/>
        <v>110/11KV MRS</v>
      </c>
      <c r="K51" s="57" t="s">
        <v>404</v>
      </c>
      <c r="L51" s="57" t="str">
        <f t="shared" si="5"/>
        <v>20030093101</v>
      </c>
      <c r="M51" s="41">
        <v>20030072359</v>
      </c>
      <c r="N51" s="41"/>
      <c r="O51" s="41"/>
      <c r="P51" s="64" t="s">
        <v>412</v>
      </c>
      <c r="Q51" s="64" t="s">
        <v>449</v>
      </c>
      <c r="R51" s="80">
        <v>39448</v>
      </c>
      <c r="S51" s="64">
        <v>125</v>
      </c>
      <c r="T51" s="41" t="s">
        <v>279</v>
      </c>
      <c r="U51" s="41">
        <v>20</v>
      </c>
      <c r="V51" s="41" t="s">
        <v>281</v>
      </c>
      <c r="W51" s="41">
        <v>40</v>
      </c>
      <c r="X51" s="82">
        <f t="shared" si="3"/>
        <v>2</v>
      </c>
      <c r="Y51" s="82">
        <v>2</v>
      </c>
      <c r="Z51" s="41" t="s">
        <v>369</v>
      </c>
      <c r="AA51" s="61" t="s">
        <v>308</v>
      </c>
      <c r="AB51" s="41"/>
      <c r="AC51" s="41" t="s">
        <v>399</v>
      </c>
      <c r="AD51" s="69">
        <v>13.93039128106</v>
      </c>
      <c r="AE51" s="69">
        <v>75.584871369210006</v>
      </c>
      <c r="AF51" s="68" t="str">
        <f t="shared" si="6"/>
        <v>http://maps.google.com/maps?q=loc:13.93039128106,75.58487136921</v>
      </c>
    </row>
    <row r="52" spans="1:32">
      <c r="A52" s="41" t="s">
        <v>102</v>
      </c>
      <c r="B52" s="11" t="s">
        <v>171</v>
      </c>
      <c r="C52" s="11">
        <v>51</v>
      </c>
      <c r="D52" s="88" t="str">
        <f>VLOOKUP(A52,[1]dtlms!$L:$N,3,0)</f>
        <v>KASARAVALLI</v>
      </c>
      <c r="E52" s="13" t="s">
        <v>103</v>
      </c>
      <c r="F52" s="38" t="s">
        <v>5</v>
      </c>
      <c r="G52" s="91" t="s">
        <v>468</v>
      </c>
      <c r="H52" s="83">
        <v>180101</v>
      </c>
      <c r="I52" s="11">
        <v>100</v>
      </c>
      <c r="J52" s="57" t="str">
        <f t="shared" si="4"/>
        <v>110/11KV MRS</v>
      </c>
      <c r="K52" s="57" t="s">
        <v>403</v>
      </c>
      <c r="L52" s="57" t="str">
        <f t="shared" si="5"/>
        <v>20030093101</v>
      </c>
      <c r="M52" s="41">
        <v>20030072343</v>
      </c>
      <c r="N52" s="41"/>
      <c r="O52" s="41"/>
      <c r="P52" s="64" t="s">
        <v>412</v>
      </c>
      <c r="Q52" s="64">
        <v>12655602</v>
      </c>
      <c r="R52" s="80">
        <v>41244</v>
      </c>
      <c r="S52" s="64">
        <v>2500</v>
      </c>
      <c r="T52" s="41">
        <v>1</v>
      </c>
      <c r="U52" s="41">
        <v>1</v>
      </c>
      <c r="V52" s="41" t="s">
        <v>280</v>
      </c>
      <c r="W52" s="41">
        <v>30</v>
      </c>
      <c r="X52" s="82">
        <f t="shared" si="3"/>
        <v>30</v>
      </c>
      <c r="Y52" s="82">
        <v>30</v>
      </c>
      <c r="Z52" s="41" t="s">
        <v>381</v>
      </c>
      <c r="AA52" s="61">
        <v>119075</v>
      </c>
      <c r="AB52" s="41"/>
      <c r="AC52" s="41" t="s">
        <v>399</v>
      </c>
      <c r="AD52" s="69">
        <v>13.93089209027</v>
      </c>
      <c r="AE52" s="69">
        <v>75.580368945390006</v>
      </c>
      <c r="AF52" s="68" t="str">
        <f t="shared" si="6"/>
        <v>http://maps.google.com/maps?q=loc:13.93089209027,75.58036894539</v>
      </c>
    </row>
    <row r="53" spans="1:32">
      <c r="A53" s="41" t="s">
        <v>104</v>
      </c>
      <c r="B53" s="8" t="s">
        <v>171</v>
      </c>
      <c r="C53" s="16">
        <v>52</v>
      </c>
      <c r="D53" s="88" t="str">
        <f>VLOOKUP(A53,[1]dtlms!$L:$N,3,0)</f>
        <v>MARUTHI COMPLEX</v>
      </c>
      <c r="E53" s="15" t="s">
        <v>105</v>
      </c>
      <c r="F53" s="39" t="s">
        <v>5</v>
      </c>
      <c r="G53" s="91" t="s">
        <v>468</v>
      </c>
      <c r="H53" s="36">
        <v>180101</v>
      </c>
      <c r="I53" s="16">
        <v>100</v>
      </c>
      <c r="J53" s="57" t="str">
        <f t="shared" si="4"/>
        <v>110/11KV MRS</v>
      </c>
      <c r="K53" s="57" t="s">
        <v>404</v>
      </c>
      <c r="L53" s="57" t="str">
        <f t="shared" si="5"/>
        <v>20030093101</v>
      </c>
      <c r="M53" s="41">
        <v>20030071947</v>
      </c>
      <c r="N53" s="41"/>
      <c r="O53" s="41"/>
      <c r="P53" s="64" t="s">
        <v>412</v>
      </c>
      <c r="Q53" s="64">
        <v>10502537</v>
      </c>
      <c r="R53" s="80">
        <v>40483</v>
      </c>
      <c r="S53" s="64">
        <v>2500</v>
      </c>
      <c r="T53" s="41">
        <v>1</v>
      </c>
      <c r="U53" s="41">
        <v>1</v>
      </c>
      <c r="V53" s="41" t="s">
        <v>280</v>
      </c>
      <c r="W53" s="41">
        <v>30</v>
      </c>
      <c r="X53" s="82">
        <f t="shared" si="3"/>
        <v>30</v>
      </c>
      <c r="Y53" s="82">
        <v>30</v>
      </c>
      <c r="Z53" s="41" t="s">
        <v>369</v>
      </c>
      <c r="AA53" s="61" t="s">
        <v>309</v>
      </c>
      <c r="AB53" s="41"/>
      <c r="AC53" s="41" t="s">
        <v>399</v>
      </c>
      <c r="AD53" s="69">
        <v>13.930486500000001</v>
      </c>
      <c r="AE53" s="69">
        <v>75.579078999999993</v>
      </c>
      <c r="AF53" s="68" t="str">
        <f t="shared" si="6"/>
        <v>http://maps.google.com/maps?q=loc:13.9304865,75.579079</v>
      </c>
    </row>
    <row r="54" spans="1:32">
      <c r="A54" s="41" t="s">
        <v>106</v>
      </c>
      <c r="B54" s="8" t="s">
        <v>171</v>
      </c>
      <c r="C54" s="8">
        <v>53</v>
      </c>
      <c r="D54" s="88" t="str">
        <f>VLOOKUP(A54,[1]dtlms!$L:$N,3,0)</f>
        <v>KOUTTONS</v>
      </c>
      <c r="E54" s="15" t="s">
        <v>107</v>
      </c>
      <c r="F54" s="36" t="s">
        <v>5</v>
      </c>
      <c r="G54" s="91" t="s">
        <v>468</v>
      </c>
      <c r="H54" s="36">
        <v>180101</v>
      </c>
      <c r="I54" s="8">
        <v>100</v>
      </c>
      <c r="J54" s="57" t="str">
        <f t="shared" si="4"/>
        <v>110/11KV MRS</v>
      </c>
      <c r="K54" s="57" t="s">
        <v>404</v>
      </c>
      <c r="L54" s="57" t="str">
        <f t="shared" si="5"/>
        <v>20030093101</v>
      </c>
      <c r="M54" s="41">
        <v>20030072350</v>
      </c>
      <c r="N54" s="41"/>
      <c r="O54" s="41"/>
      <c r="P54" s="64" t="s">
        <v>412</v>
      </c>
      <c r="Q54" s="64">
        <v>10362726</v>
      </c>
      <c r="R54" s="80">
        <v>40360</v>
      </c>
      <c r="S54" s="64">
        <v>2500</v>
      </c>
      <c r="T54" s="41">
        <v>1</v>
      </c>
      <c r="U54" s="41">
        <v>1</v>
      </c>
      <c r="V54" s="41" t="s">
        <v>280</v>
      </c>
      <c r="W54" s="41">
        <v>30</v>
      </c>
      <c r="X54" s="82">
        <f t="shared" si="3"/>
        <v>30</v>
      </c>
      <c r="Y54" s="82">
        <v>30</v>
      </c>
      <c r="Z54" s="41" t="s">
        <v>369</v>
      </c>
      <c r="AA54" s="61">
        <v>3310030008</v>
      </c>
      <c r="AB54" s="41"/>
      <c r="AC54" s="41" t="s">
        <v>399</v>
      </c>
      <c r="AD54" s="69">
        <v>13.9300991</v>
      </c>
      <c r="AE54" s="69">
        <v>75.577506200000002</v>
      </c>
      <c r="AF54" s="68" t="str">
        <f t="shared" si="6"/>
        <v>http://maps.google.com/maps?q=loc:13.9300991,75.5775062</v>
      </c>
    </row>
    <row r="55" spans="1:32">
      <c r="A55" s="41" t="s">
        <v>108</v>
      </c>
      <c r="B55" s="8" t="s">
        <v>171</v>
      </c>
      <c r="C55" s="8">
        <v>54</v>
      </c>
      <c r="D55" s="88" t="str">
        <f>VLOOKUP(A55,[1]dtlms!$L:$N,3,0)</f>
        <v>DOUBLE ROAD</v>
      </c>
      <c r="E55" s="15" t="s">
        <v>109</v>
      </c>
      <c r="F55" s="20" t="s">
        <v>239</v>
      </c>
      <c r="G55" s="92" t="s">
        <v>470</v>
      </c>
      <c r="H55" s="36">
        <v>180420</v>
      </c>
      <c r="I55" s="8">
        <v>100</v>
      </c>
      <c r="J55" s="57" t="str">
        <f t="shared" si="4"/>
        <v>110/11KV MANDLI</v>
      </c>
      <c r="K55" s="57" t="s">
        <v>404</v>
      </c>
      <c r="L55" s="57">
        <f t="shared" si="5"/>
        <v>0</v>
      </c>
      <c r="M55" s="41">
        <v>20030072166</v>
      </c>
      <c r="N55" s="41"/>
      <c r="O55" s="41"/>
      <c r="P55" s="64" t="s">
        <v>412</v>
      </c>
      <c r="Q55" s="64">
        <v>11133245</v>
      </c>
      <c r="R55" s="80">
        <v>40603</v>
      </c>
      <c r="S55" s="64">
        <v>2500</v>
      </c>
      <c r="T55" s="41">
        <v>1</v>
      </c>
      <c r="U55" s="41">
        <v>1</v>
      </c>
      <c r="V55" s="41" t="s">
        <v>280</v>
      </c>
      <c r="W55" s="41">
        <v>30</v>
      </c>
      <c r="X55" s="82">
        <f t="shared" si="3"/>
        <v>30</v>
      </c>
      <c r="Y55" s="82">
        <v>30</v>
      </c>
      <c r="Z55" s="41" t="s">
        <v>369</v>
      </c>
      <c r="AA55" s="61" t="s">
        <v>310</v>
      </c>
      <c r="AB55" s="41"/>
      <c r="AC55" s="41" t="s">
        <v>399</v>
      </c>
      <c r="AD55" s="69">
        <v>13.93011764239</v>
      </c>
      <c r="AE55" s="69">
        <v>75.576890170279995</v>
      </c>
      <c r="AF55" s="68" t="str">
        <f t="shared" si="6"/>
        <v>http://maps.google.com/maps?q=loc:13.93011764239,75.57689017028</v>
      </c>
    </row>
    <row r="56" spans="1:32">
      <c r="A56" s="41" t="s">
        <v>110</v>
      </c>
      <c r="B56" s="8" t="s">
        <v>171</v>
      </c>
      <c r="C56" s="8">
        <v>55</v>
      </c>
      <c r="D56" s="88" t="str">
        <f>VLOOKUP(A56,[1]dtlms!$L:$N,3,0)</f>
        <v>GANDHI BAZAR UNDER PASS</v>
      </c>
      <c r="E56" s="15" t="s">
        <v>111</v>
      </c>
      <c r="F56" s="20" t="s">
        <v>239</v>
      </c>
      <c r="G56" s="92" t="s">
        <v>470</v>
      </c>
      <c r="H56" s="36">
        <v>180420</v>
      </c>
      <c r="I56" s="8">
        <v>250</v>
      </c>
      <c r="J56" s="57" t="str">
        <f t="shared" si="4"/>
        <v>110/11KV MANDLI</v>
      </c>
      <c r="K56" s="57" t="s">
        <v>404</v>
      </c>
      <c r="L56" s="57">
        <f t="shared" si="5"/>
        <v>0</v>
      </c>
      <c r="M56" s="41">
        <v>20030072164</v>
      </c>
      <c r="N56" s="41"/>
      <c r="O56" s="41"/>
      <c r="P56" s="64" t="s">
        <v>412</v>
      </c>
      <c r="Q56" s="64">
        <v>11231122</v>
      </c>
      <c r="R56" s="80">
        <v>40695</v>
      </c>
      <c r="S56" s="64">
        <v>2500</v>
      </c>
      <c r="T56" s="41">
        <v>1</v>
      </c>
      <c r="U56" s="41">
        <v>1</v>
      </c>
      <c r="V56" s="41" t="s">
        <v>280</v>
      </c>
      <c r="W56" s="41">
        <v>30</v>
      </c>
      <c r="X56" s="82">
        <f t="shared" si="3"/>
        <v>30</v>
      </c>
      <c r="Y56" s="82">
        <v>30</v>
      </c>
      <c r="Z56" s="41" t="s">
        <v>369</v>
      </c>
      <c r="AA56" s="61" t="s">
        <v>340</v>
      </c>
      <c r="AB56" s="41"/>
      <c r="AC56" s="41" t="s">
        <v>399</v>
      </c>
      <c r="AD56" s="69">
        <v>13.9298365</v>
      </c>
      <c r="AE56" s="69">
        <v>75.575320099999999</v>
      </c>
      <c r="AF56" s="68" t="str">
        <f t="shared" si="6"/>
        <v>http://maps.google.com/maps?q=loc:13.9298365,75.5753201</v>
      </c>
    </row>
    <row r="57" spans="1:32">
      <c r="A57" s="41" t="s">
        <v>112</v>
      </c>
      <c r="B57" s="8" t="s">
        <v>171</v>
      </c>
      <c r="C57" s="8">
        <v>56</v>
      </c>
      <c r="D57" s="88" t="str">
        <f>VLOOKUP(A57,[1]dtlms!$L:$N,3,0)</f>
        <v>GANGA MEDICAL</v>
      </c>
      <c r="E57" s="15" t="s">
        <v>113</v>
      </c>
      <c r="F57" s="20" t="s">
        <v>239</v>
      </c>
      <c r="G57" s="92" t="s">
        <v>470</v>
      </c>
      <c r="H57" s="36">
        <v>180420</v>
      </c>
      <c r="I57" s="8">
        <v>100</v>
      </c>
      <c r="J57" s="57" t="str">
        <f t="shared" si="4"/>
        <v>110/11KV MANDLI</v>
      </c>
      <c r="K57" s="57" t="s">
        <v>404</v>
      </c>
      <c r="L57" s="57">
        <f t="shared" si="5"/>
        <v>0</v>
      </c>
      <c r="M57" s="41">
        <v>20030072171</v>
      </c>
      <c r="N57" s="41"/>
      <c r="O57" s="41"/>
      <c r="P57" s="64" t="s">
        <v>412</v>
      </c>
      <c r="Q57" s="64">
        <v>11231103</v>
      </c>
      <c r="R57" s="80">
        <v>40695</v>
      </c>
      <c r="S57" s="64">
        <v>2500</v>
      </c>
      <c r="T57" s="41">
        <v>1</v>
      </c>
      <c r="U57" s="41">
        <v>1</v>
      </c>
      <c r="V57" s="41" t="s">
        <v>280</v>
      </c>
      <c r="W57" s="41">
        <v>30</v>
      </c>
      <c r="X57" s="82">
        <f t="shared" si="3"/>
        <v>30</v>
      </c>
      <c r="Y57" s="82">
        <v>30</v>
      </c>
      <c r="Z57" s="41" t="s">
        <v>369</v>
      </c>
      <c r="AA57" s="61">
        <v>319603231</v>
      </c>
      <c r="AB57" s="41"/>
      <c r="AC57" s="41" t="s">
        <v>399</v>
      </c>
      <c r="AD57" s="69">
        <v>13.929896400000001</v>
      </c>
      <c r="AE57" s="69">
        <v>75.576884100000001</v>
      </c>
      <c r="AF57" s="68" t="str">
        <f t="shared" si="6"/>
        <v>http://maps.google.com/maps?q=loc:13.9298964,75.5768841</v>
      </c>
    </row>
    <row r="58" spans="1:32">
      <c r="A58" s="41" t="s">
        <v>114</v>
      </c>
      <c r="B58" s="11" t="s">
        <v>171</v>
      </c>
      <c r="C58" s="11">
        <v>57</v>
      </c>
      <c r="D58" s="88" t="str">
        <f>VLOOKUP(A58,[1]dtlms!$L:$N,3,0)</f>
        <v>MS TOWER</v>
      </c>
      <c r="E58" s="13" t="s">
        <v>115</v>
      </c>
      <c r="F58" s="37" t="s">
        <v>239</v>
      </c>
      <c r="G58" s="92" t="s">
        <v>470</v>
      </c>
      <c r="H58" s="83">
        <v>180420</v>
      </c>
      <c r="I58" s="11">
        <v>100</v>
      </c>
      <c r="J58" s="57" t="str">
        <f t="shared" si="4"/>
        <v>110/11KV MANDLI</v>
      </c>
      <c r="K58" s="57" t="s">
        <v>403</v>
      </c>
      <c r="L58" s="57">
        <f t="shared" si="5"/>
        <v>0</v>
      </c>
      <c r="M58" s="41">
        <v>20030072226</v>
      </c>
      <c r="N58" s="41" t="s">
        <v>454</v>
      </c>
      <c r="O58" s="41"/>
      <c r="P58" s="64" t="s">
        <v>412</v>
      </c>
      <c r="Q58" s="64">
        <v>11378830</v>
      </c>
      <c r="R58" s="80">
        <v>40787</v>
      </c>
      <c r="S58" s="64">
        <v>2500</v>
      </c>
      <c r="T58" s="41">
        <v>1</v>
      </c>
      <c r="U58" s="41">
        <v>1</v>
      </c>
      <c r="V58" s="41" t="s">
        <v>279</v>
      </c>
      <c r="W58" s="41">
        <v>20</v>
      </c>
      <c r="X58" s="82">
        <f t="shared" si="3"/>
        <v>20</v>
      </c>
      <c r="Y58" s="82">
        <v>20</v>
      </c>
      <c r="Z58" s="41" t="s">
        <v>375</v>
      </c>
      <c r="AA58" s="61" t="s">
        <v>311</v>
      </c>
      <c r="AB58" s="41"/>
      <c r="AC58" s="41" t="s">
        <v>399</v>
      </c>
      <c r="AD58" s="69">
        <v>13.9262064</v>
      </c>
      <c r="AE58" s="69">
        <v>75.573212400000003</v>
      </c>
      <c r="AF58" s="68" t="str">
        <f t="shared" si="6"/>
        <v>http://maps.google.com/maps?q=loc:13.9262064,75.5732124</v>
      </c>
    </row>
    <row r="59" spans="1:32">
      <c r="A59" s="41" t="s">
        <v>116</v>
      </c>
      <c r="B59" s="11" t="s">
        <v>171</v>
      </c>
      <c r="C59" s="11">
        <v>58</v>
      </c>
      <c r="D59" s="88" t="str">
        <f>VLOOKUP(A59,[1]dtlms!$L:$N,3,0)</f>
        <v>AMBIKA PAPER</v>
      </c>
      <c r="E59" s="13" t="s">
        <v>117</v>
      </c>
      <c r="F59" s="37" t="s">
        <v>239</v>
      </c>
      <c r="G59" s="92" t="s">
        <v>470</v>
      </c>
      <c r="H59" s="83">
        <v>180420</v>
      </c>
      <c r="I59" s="11">
        <v>63</v>
      </c>
      <c r="J59" s="57" t="str">
        <f t="shared" si="4"/>
        <v>110/11KV MANDLI</v>
      </c>
      <c r="K59" s="57" t="s">
        <v>403</v>
      </c>
      <c r="L59" s="57">
        <f t="shared" si="5"/>
        <v>0</v>
      </c>
      <c r="M59" s="41">
        <v>20030072165</v>
      </c>
      <c r="N59" s="41"/>
      <c r="O59" s="41"/>
      <c r="P59" s="64" t="s">
        <v>412</v>
      </c>
      <c r="Q59" s="64">
        <v>12286009</v>
      </c>
      <c r="R59" s="80">
        <v>40969</v>
      </c>
      <c r="S59" s="64">
        <v>2500</v>
      </c>
      <c r="T59" s="41">
        <v>1</v>
      </c>
      <c r="U59" s="41">
        <v>1</v>
      </c>
      <c r="V59" s="41" t="s">
        <v>282</v>
      </c>
      <c r="W59" s="41">
        <v>10</v>
      </c>
      <c r="X59" s="82">
        <f t="shared" si="3"/>
        <v>10</v>
      </c>
      <c r="Y59" s="82">
        <v>10</v>
      </c>
      <c r="Z59" s="41" t="s">
        <v>382</v>
      </c>
      <c r="AA59" s="61" t="s">
        <v>312</v>
      </c>
      <c r="AB59" s="41"/>
      <c r="AC59" s="41" t="s">
        <v>397</v>
      </c>
      <c r="AD59" s="69">
        <v>13.9294274</v>
      </c>
      <c r="AE59" s="69">
        <v>75.576141100000001</v>
      </c>
      <c r="AF59" s="68" t="str">
        <f t="shared" si="6"/>
        <v>http://maps.google.com/maps?q=loc:13.9294274,75.5761411</v>
      </c>
    </row>
    <row r="60" spans="1:32">
      <c r="A60" s="41" t="s">
        <v>118</v>
      </c>
      <c r="B60" s="11" t="s">
        <v>171</v>
      </c>
      <c r="C60" s="11">
        <v>59</v>
      </c>
      <c r="D60" s="88" t="str">
        <f>VLOOKUP(A60,[1]dtlms!$L:$N,3,0)</f>
        <v>CMC TC</v>
      </c>
      <c r="E60" s="13" t="s">
        <v>119</v>
      </c>
      <c r="F60" s="38" t="s">
        <v>5</v>
      </c>
      <c r="G60" s="91" t="s">
        <v>468</v>
      </c>
      <c r="H60" s="36">
        <v>180101</v>
      </c>
      <c r="I60" s="11">
        <v>63</v>
      </c>
      <c r="J60" s="57" t="str">
        <f t="shared" si="4"/>
        <v>110/11KV MRS</v>
      </c>
      <c r="K60" s="57" t="s">
        <v>403</v>
      </c>
      <c r="L60" s="57" t="str">
        <f t="shared" si="5"/>
        <v>20030093101</v>
      </c>
      <c r="M60" s="41">
        <v>20030072380</v>
      </c>
      <c r="N60" s="41"/>
      <c r="O60" s="41"/>
      <c r="P60" s="64" t="s">
        <v>412</v>
      </c>
      <c r="Q60" s="64">
        <v>10363548</v>
      </c>
      <c r="R60" s="80">
        <v>40422</v>
      </c>
      <c r="S60" s="64">
        <v>2500</v>
      </c>
      <c r="T60" s="41">
        <v>1</v>
      </c>
      <c r="U60" s="41">
        <v>1</v>
      </c>
      <c r="V60" s="41" t="s">
        <v>282</v>
      </c>
      <c r="W60" s="41">
        <v>10</v>
      </c>
      <c r="X60" s="82">
        <f t="shared" si="3"/>
        <v>10</v>
      </c>
      <c r="Y60" s="82">
        <v>10</v>
      </c>
      <c r="Z60" s="41" t="s">
        <v>375</v>
      </c>
      <c r="AA60" s="61" t="s">
        <v>341</v>
      </c>
      <c r="AB60" s="41"/>
      <c r="AC60" s="41" t="s">
        <v>399</v>
      </c>
      <c r="AD60" s="69">
        <v>13.9314528398</v>
      </c>
      <c r="AE60" s="69">
        <v>75.586955902650004</v>
      </c>
      <c r="AF60" s="68" t="str">
        <f t="shared" si="6"/>
        <v>http://maps.google.com/maps?q=loc:13.9314528398,75.58695590265</v>
      </c>
    </row>
    <row r="61" spans="1:32">
      <c r="A61" s="41" t="s">
        <v>120</v>
      </c>
      <c r="B61" s="8" t="s">
        <v>171</v>
      </c>
      <c r="C61" s="8">
        <v>60</v>
      </c>
      <c r="D61" s="88" t="e">
        <f>VLOOKUP(A61,[1]dtlms!$L:$N,3,0)</f>
        <v>#N/A</v>
      </c>
      <c r="E61" s="15" t="s">
        <v>121</v>
      </c>
      <c r="F61" s="20" t="s">
        <v>239</v>
      </c>
      <c r="G61" s="92" t="s">
        <v>470</v>
      </c>
      <c r="H61" s="36">
        <v>180420</v>
      </c>
      <c r="I61" s="8">
        <v>100</v>
      </c>
      <c r="J61" s="57" t="str">
        <f t="shared" si="4"/>
        <v>110/11KV MANDLI</v>
      </c>
      <c r="K61" s="57" t="s">
        <v>404</v>
      </c>
      <c r="L61" s="57">
        <f t="shared" si="5"/>
        <v>0</v>
      </c>
      <c r="M61" s="41">
        <v>20030072193</v>
      </c>
      <c r="N61" s="41" t="s">
        <v>454</v>
      </c>
      <c r="O61" s="41" t="s">
        <v>454</v>
      </c>
      <c r="P61" s="64" t="s">
        <v>412</v>
      </c>
      <c r="Q61" s="64">
        <v>12655309</v>
      </c>
      <c r="R61" s="80">
        <v>41244</v>
      </c>
      <c r="S61" s="64">
        <v>2500</v>
      </c>
      <c r="T61" s="41">
        <v>1</v>
      </c>
      <c r="U61" s="41">
        <v>1</v>
      </c>
      <c r="V61" s="41" t="s">
        <v>280</v>
      </c>
      <c r="W61" s="41">
        <v>30</v>
      </c>
      <c r="X61" s="82">
        <f t="shared" si="3"/>
        <v>30</v>
      </c>
      <c r="Y61" s="82">
        <v>30</v>
      </c>
      <c r="Z61" s="41" t="s">
        <v>313</v>
      </c>
      <c r="AA61" s="61" t="s">
        <v>313</v>
      </c>
      <c r="AB61" s="41"/>
      <c r="AC61" s="41" t="s">
        <v>399</v>
      </c>
      <c r="AD61" s="69">
        <v>13.926930382949999</v>
      </c>
      <c r="AE61" s="69">
        <v>75.575536529450005</v>
      </c>
      <c r="AF61" s="68" t="str">
        <f t="shared" si="6"/>
        <v>http://maps.google.com/maps?q=loc:13.92693038295,75.57553652945</v>
      </c>
    </row>
    <row r="62" spans="1:32">
      <c r="A62" s="41" t="s">
        <v>122</v>
      </c>
      <c r="B62" s="11" t="s">
        <v>171</v>
      </c>
      <c r="C62" s="11">
        <v>61</v>
      </c>
      <c r="D62" s="88" t="str">
        <f>VLOOKUP(A62,[1]dtlms!$L:$N,3,0)</f>
        <v>MANJU JAIN</v>
      </c>
      <c r="E62" s="13" t="s">
        <v>123</v>
      </c>
      <c r="F62" s="38" t="s">
        <v>5</v>
      </c>
      <c r="G62" s="91" t="s">
        <v>468</v>
      </c>
      <c r="H62" s="83">
        <v>180101</v>
      </c>
      <c r="I62" s="94">
        <v>63</v>
      </c>
      <c r="J62" s="57" t="str">
        <f t="shared" si="4"/>
        <v>110/11KV MRS</v>
      </c>
      <c r="K62" s="57" t="s">
        <v>403</v>
      </c>
      <c r="L62" s="57" t="str">
        <f t="shared" si="5"/>
        <v>20030093101</v>
      </c>
      <c r="M62" s="41">
        <v>20030072086</v>
      </c>
      <c r="N62" s="41"/>
      <c r="O62" s="41"/>
      <c r="P62" s="64" t="s">
        <v>412</v>
      </c>
      <c r="Q62" s="64">
        <v>12363729</v>
      </c>
      <c r="R62" s="80">
        <v>41122</v>
      </c>
      <c r="S62" s="64">
        <v>2500</v>
      </c>
      <c r="T62" s="41">
        <v>1</v>
      </c>
      <c r="U62" s="41">
        <v>1</v>
      </c>
      <c r="V62" s="41" t="s">
        <v>279</v>
      </c>
      <c r="W62" s="41">
        <v>20</v>
      </c>
      <c r="X62" s="82">
        <f t="shared" si="3"/>
        <v>20</v>
      </c>
      <c r="Y62" s="82">
        <v>20</v>
      </c>
      <c r="Z62" s="41" t="s">
        <v>375</v>
      </c>
      <c r="AA62" s="61" t="s">
        <v>314</v>
      </c>
      <c r="AB62" s="41"/>
      <c r="AC62" s="41" t="s">
        <v>399</v>
      </c>
      <c r="AD62" s="69">
        <v>13.925902000000001</v>
      </c>
      <c r="AE62" s="69">
        <v>75.580058300000005</v>
      </c>
      <c r="AF62" s="68" t="str">
        <f t="shared" si="6"/>
        <v>http://maps.google.com/maps?q=loc:13.925902,75.5800583</v>
      </c>
    </row>
    <row r="63" spans="1:32">
      <c r="A63" s="41" t="s">
        <v>124</v>
      </c>
      <c r="B63" s="11" t="s">
        <v>171</v>
      </c>
      <c r="C63" s="11">
        <v>62</v>
      </c>
      <c r="D63" s="88" t="str">
        <f>VLOOKUP(A63,[1]dtlms!$L:$N,3,0)</f>
        <v>SHIMOGA BANGLES</v>
      </c>
      <c r="E63" s="13" t="s">
        <v>125</v>
      </c>
      <c r="F63" s="37" t="s">
        <v>239</v>
      </c>
      <c r="G63" s="92" t="s">
        <v>470</v>
      </c>
      <c r="H63" s="83">
        <v>180420</v>
      </c>
      <c r="I63" s="94">
        <v>100</v>
      </c>
      <c r="J63" s="57" t="str">
        <f t="shared" si="4"/>
        <v>110/11KV MANDLI</v>
      </c>
      <c r="K63" s="57" t="s">
        <v>403</v>
      </c>
      <c r="L63" s="57">
        <f t="shared" si="5"/>
        <v>0</v>
      </c>
      <c r="M63" s="41">
        <v>20030072133</v>
      </c>
      <c r="N63" s="41"/>
      <c r="O63" s="41"/>
      <c r="P63" s="64" t="s">
        <v>412</v>
      </c>
      <c r="Q63" s="64">
        <v>12535516</v>
      </c>
      <c r="R63" s="80">
        <v>41183</v>
      </c>
      <c r="S63" s="64">
        <v>2500</v>
      </c>
      <c r="T63" s="41">
        <v>1</v>
      </c>
      <c r="U63" s="41">
        <v>1</v>
      </c>
      <c r="V63" s="41" t="s">
        <v>279</v>
      </c>
      <c r="W63" s="41">
        <v>20</v>
      </c>
      <c r="X63" s="82">
        <f t="shared" si="3"/>
        <v>20</v>
      </c>
      <c r="Y63" s="82">
        <v>20</v>
      </c>
      <c r="Z63" s="41" t="s">
        <v>382</v>
      </c>
      <c r="AA63" s="61" t="s">
        <v>315</v>
      </c>
      <c r="AB63" s="41"/>
      <c r="AC63" s="41" t="s">
        <v>397</v>
      </c>
      <c r="AD63" s="69">
        <v>13.927037053559999</v>
      </c>
      <c r="AE63" s="69">
        <v>75.576199188230007</v>
      </c>
      <c r="AF63" s="68" t="str">
        <f t="shared" si="6"/>
        <v>http://maps.google.com/maps?q=loc:13.92703705356,75.57619918823</v>
      </c>
    </row>
    <row r="64" spans="1:32">
      <c r="A64" s="41" t="s">
        <v>126</v>
      </c>
      <c r="B64" s="8" t="s">
        <v>171</v>
      </c>
      <c r="C64" s="8">
        <v>63</v>
      </c>
      <c r="D64" s="88" t="str">
        <f>VLOOKUP(A64,[1]dtlms!$L:$N,3,0)</f>
        <v>BEDARAKERI</v>
      </c>
      <c r="E64" s="15" t="s">
        <v>127</v>
      </c>
      <c r="F64" s="36" t="s">
        <v>5</v>
      </c>
      <c r="G64" s="91" t="s">
        <v>468</v>
      </c>
      <c r="H64" s="36">
        <v>180101</v>
      </c>
      <c r="I64" s="8">
        <v>100</v>
      </c>
      <c r="J64" s="57" t="str">
        <f t="shared" si="4"/>
        <v>110/11KV MRS</v>
      </c>
      <c r="K64" s="57" t="s">
        <v>404</v>
      </c>
      <c r="L64" s="57" t="str">
        <f t="shared" si="5"/>
        <v>20030093101</v>
      </c>
      <c r="M64" s="41">
        <v>20030072113</v>
      </c>
      <c r="N64" s="41"/>
      <c r="O64" s="41"/>
      <c r="P64" s="64" t="s">
        <v>412</v>
      </c>
      <c r="Q64" s="64">
        <v>12655310</v>
      </c>
      <c r="R64" s="80">
        <v>41244</v>
      </c>
      <c r="S64" s="64">
        <v>2500</v>
      </c>
      <c r="T64" s="41">
        <v>1</v>
      </c>
      <c r="U64" s="41">
        <v>1</v>
      </c>
      <c r="V64" s="41" t="s">
        <v>280</v>
      </c>
      <c r="W64" s="41">
        <v>30</v>
      </c>
      <c r="X64" s="82">
        <f t="shared" si="3"/>
        <v>30</v>
      </c>
      <c r="Y64" s="82">
        <v>30</v>
      </c>
      <c r="Z64" s="41" t="s">
        <v>369</v>
      </c>
      <c r="AA64" s="61" t="s">
        <v>316</v>
      </c>
      <c r="AB64" s="41"/>
      <c r="AC64" s="41" t="s">
        <v>399</v>
      </c>
      <c r="AD64" s="69">
        <v>13.928463799999999</v>
      </c>
      <c r="AE64" s="69">
        <v>75.578501000000003</v>
      </c>
      <c r="AF64" s="68" t="str">
        <f t="shared" si="6"/>
        <v>http://maps.google.com/maps?q=loc:13.9284638,75.578501</v>
      </c>
    </row>
    <row r="65" spans="1:32">
      <c r="A65" s="41" t="s">
        <v>128</v>
      </c>
      <c r="B65" s="8" t="s">
        <v>171</v>
      </c>
      <c r="C65" s="8">
        <v>64</v>
      </c>
      <c r="D65" s="88" t="e">
        <f>VLOOKUP(A65,[1]dtlms!$L:$N,3,0)</f>
        <v>#N/A</v>
      </c>
      <c r="E65" s="15" t="s">
        <v>129</v>
      </c>
      <c r="F65" s="36" t="s">
        <v>5</v>
      </c>
      <c r="G65" s="91" t="s">
        <v>468</v>
      </c>
      <c r="H65" s="36">
        <v>180101</v>
      </c>
      <c r="I65" s="8">
        <v>100</v>
      </c>
      <c r="J65" s="57" t="str">
        <f t="shared" si="4"/>
        <v>110/11KV MRS</v>
      </c>
      <c r="K65" s="57" t="s">
        <v>404</v>
      </c>
      <c r="L65" s="57" t="str">
        <f t="shared" si="5"/>
        <v>20030093101</v>
      </c>
      <c r="M65" s="41">
        <v>20030072108</v>
      </c>
      <c r="N65" s="41"/>
      <c r="O65" s="41"/>
      <c r="P65" s="64" t="s">
        <v>412</v>
      </c>
      <c r="Q65" s="64">
        <v>12654367</v>
      </c>
      <c r="R65" s="80">
        <v>41244</v>
      </c>
      <c r="S65" s="64">
        <v>2500</v>
      </c>
      <c r="T65" s="41">
        <v>1</v>
      </c>
      <c r="U65" s="41">
        <v>1</v>
      </c>
      <c r="V65" s="41" t="s">
        <v>280</v>
      </c>
      <c r="W65" s="41">
        <v>30</v>
      </c>
      <c r="X65" s="82">
        <f t="shared" si="3"/>
        <v>30</v>
      </c>
      <c r="Y65" s="82">
        <v>30</v>
      </c>
      <c r="Z65" s="41" t="s">
        <v>393</v>
      </c>
      <c r="AA65" s="61">
        <v>1107884</v>
      </c>
      <c r="AB65" s="41"/>
      <c r="AC65" s="41" t="s">
        <v>399</v>
      </c>
      <c r="AD65" s="69">
        <v>13.9284853</v>
      </c>
      <c r="AE65" s="69">
        <v>75.578337199999993</v>
      </c>
      <c r="AF65" s="68" t="str">
        <f t="shared" si="6"/>
        <v>http://maps.google.com/maps?q=loc:13.9284853,75.5783372</v>
      </c>
    </row>
    <row r="66" spans="1:32">
      <c r="A66" s="41" t="s">
        <v>130</v>
      </c>
      <c r="B66" s="11" t="s">
        <v>171</v>
      </c>
      <c r="C66" s="11">
        <v>65</v>
      </c>
      <c r="D66" s="88" t="str">
        <f>VLOOKUP(A66,[1]dtlms!$L:$N,3,0)</f>
        <v>SWASTIK SPORTS</v>
      </c>
      <c r="E66" s="13" t="s">
        <v>131</v>
      </c>
      <c r="F66" s="38" t="s">
        <v>5</v>
      </c>
      <c r="G66" s="91" t="s">
        <v>468</v>
      </c>
      <c r="H66" s="83">
        <v>180101</v>
      </c>
      <c r="I66" s="11">
        <v>25</v>
      </c>
      <c r="J66" s="57" t="str">
        <f t="shared" si="4"/>
        <v>110/11KV MRS</v>
      </c>
      <c r="K66" s="57" t="s">
        <v>403</v>
      </c>
      <c r="L66" s="57" t="str">
        <f t="shared" ref="L66:L97" si="7">VLOOKUP(F66,$AH$1:$AI$14,2,0)</f>
        <v>20030093101</v>
      </c>
      <c r="M66" s="41">
        <v>20030072241</v>
      </c>
      <c r="N66" s="41"/>
      <c r="O66" s="41"/>
      <c r="P66" s="64" t="s">
        <v>412</v>
      </c>
      <c r="Q66" s="64">
        <v>13357433</v>
      </c>
      <c r="R66" s="80">
        <v>41365</v>
      </c>
      <c r="S66" s="64">
        <v>2500</v>
      </c>
      <c r="T66" s="41">
        <v>1</v>
      </c>
      <c r="U66" s="41">
        <v>1</v>
      </c>
      <c r="V66" s="41" t="s">
        <v>282</v>
      </c>
      <c r="W66" s="41">
        <v>10</v>
      </c>
      <c r="X66" s="82">
        <f t="shared" si="3"/>
        <v>10</v>
      </c>
      <c r="Y66" s="82">
        <v>10</v>
      </c>
      <c r="Z66" s="41" t="s">
        <v>375</v>
      </c>
      <c r="AA66" s="61" t="s">
        <v>342</v>
      </c>
      <c r="AB66" s="41"/>
      <c r="AC66" s="41" t="s">
        <v>399</v>
      </c>
      <c r="AD66" s="69">
        <v>13.92813347531</v>
      </c>
      <c r="AE66" s="69">
        <v>75.576994103049998</v>
      </c>
      <c r="AF66" s="68" t="str">
        <f t="shared" ref="AF66:AF97" si="8">HYPERLINK("http://maps.google.com/maps?q=loc:"&amp;AD66&amp;","&amp;AE66)</f>
        <v>http://maps.google.com/maps?q=loc:13.92813347531,75.57699410305</v>
      </c>
    </row>
    <row r="67" spans="1:32">
      <c r="A67" s="41" t="s">
        <v>132</v>
      </c>
      <c r="B67" s="8" t="s">
        <v>171</v>
      </c>
      <c r="C67" s="8">
        <v>66</v>
      </c>
      <c r="D67" s="88" t="str">
        <f>VLOOKUP(A67,[1]dtlms!$L:$N,3,0)</f>
        <v>BASANNI HOTEL</v>
      </c>
      <c r="E67" s="15" t="s">
        <v>133</v>
      </c>
      <c r="F67" s="20" t="s">
        <v>239</v>
      </c>
      <c r="G67" s="92" t="s">
        <v>470</v>
      </c>
      <c r="H67" s="36">
        <v>180420</v>
      </c>
      <c r="I67" s="8">
        <v>100</v>
      </c>
      <c r="J67" s="57" t="str">
        <f t="shared" ref="J67:J103" si="9">IF(F67="MRS F1","110/11KV MRS","110/11KV MANDLI")</f>
        <v>110/11KV MANDLI</v>
      </c>
      <c r="K67" s="57" t="s">
        <v>404</v>
      </c>
      <c r="L67" s="57">
        <f t="shared" si="7"/>
        <v>0</v>
      </c>
      <c r="M67" s="41">
        <v>20030072196</v>
      </c>
      <c r="N67" s="41"/>
      <c r="O67" s="41"/>
      <c r="P67" s="64" t="s">
        <v>412</v>
      </c>
      <c r="Q67" s="64">
        <v>12654464</v>
      </c>
      <c r="R67" s="80">
        <v>41244</v>
      </c>
      <c r="S67" s="64">
        <v>2500</v>
      </c>
      <c r="T67" s="41">
        <v>1</v>
      </c>
      <c r="U67" s="41">
        <v>1</v>
      </c>
      <c r="V67" s="41" t="s">
        <v>279</v>
      </c>
      <c r="W67" s="41">
        <v>20</v>
      </c>
      <c r="X67" s="82">
        <f t="shared" ref="X67:X103" si="10">W67/U67</f>
        <v>20</v>
      </c>
      <c r="Y67" s="82">
        <v>20</v>
      </c>
      <c r="Z67" s="41" t="s">
        <v>383</v>
      </c>
      <c r="AA67" s="61" t="s">
        <v>344</v>
      </c>
      <c r="AB67" s="41"/>
      <c r="AC67" s="41" t="s">
        <v>399</v>
      </c>
      <c r="AD67" s="69">
        <v>13.926323999999999</v>
      </c>
      <c r="AE67" s="69">
        <v>75.574792400000007</v>
      </c>
      <c r="AF67" s="68" t="str">
        <f t="shared" si="8"/>
        <v>http://maps.google.com/maps?q=loc:13.926324,75.5747924</v>
      </c>
    </row>
    <row r="68" spans="1:32">
      <c r="A68" s="41" t="s">
        <v>134</v>
      </c>
      <c r="B68" s="8" t="s">
        <v>171</v>
      </c>
      <c r="C68" s="8">
        <v>67</v>
      </c>
      <c r="D68" s="88" t="str">
        <f>VLOOKUP(A68,[1]dtlms!$L:$N,3,0)</f>
        <v>NAVIN BED CENTRE</v>
      </c>
      <c r="E68" s="14" t="s">
        <v>135</v>
      </c>
      <c r="F68" s="36" t="s">
        <v>241</v>
      </c>
      <c r="G68" s="91" t="s">
        <v>469</v>
      </c>
      <c r="H68" s="36">
        <v>180413</v>
      </c>
      <c r="I68" s="8">
        <v>100</v>
      </c>
      <c r="J68" s="57" t="str">
        <f t="shared" si="9"/>
        <v>110/11KV MANDLI</v>
      </c>
      <c r="K68" s="57" t="s">
        <v>404</v>
      </c>
      <c r="L68" s="57" t="str">
        <f t="shared" si="7"/>
        <v>20030093118</v>
      </c>
      <c r="M68" s="41" t="s">
        <v>267</v>
      </c>
      <c r="N68" s="41"/>
      <c r="O68" s="41"/>
      <c r="P68" s="64" t="s">
        <v>422</v>
      </c>
      <c r="Q68" s="64" t="s">
        <v>450</v>
      </c>
      <c r="R68" s="80">
        <v>42248</v>
      </c>
      <c r="S68" s="64">
        <v>400</v>
      </c>
      <c r="T68" s="41">
        <v>1</v>
      </c>
      <c r="U68" s="41">
        <v>1</v>
      </c>
      <c r="V68" s="41">
        <v>1</v>
      </c>
      <c r="W68" s="41">
        <v>1</v>
      </c>
      <c r="X68" s="82">
        <f t="shared" si="10"/>
        <v>1</v>
      </c>
      <c r="Y68" s="82">
        <v>1</v>
      </c>
      <c r="Z68" s="41" t="s">
        <v>369</v>
      </c>
      <c r="AA68" s="61" t="s">
        <v>343</v>
      </c>
      <c r="AB68" s="41"/>
      <c r="AC68" s="41" t="s">
        <v>399</v>
      </c>
      <c r="AD68" s="69">
        <v>13.92516724271</v>
      </c>
      <c r="AE68" s="69">
        <v>75.576477444600002</v>
      </c>
      <c r="AF68" s="68" t="str">
        <f t="shared" si="8"/>
        <v>http://maps.google.com/maps?q=loc:13.92516724271,75.5764774446</v>
      </c>
    </row>
    <row r="69" spans="1:32">
      <c r="A69" s="41" t="s">
        <v>136</v>
      </c>
      <c r="B69" s="8" t="s">
        <v>171</v>
      </c>
      <c r="C69" s="8">
        <v>68</v>
      </c>
      <c r="D69" s="88" t="str">
        <f>VLOOKUP(A69,[1]dtlms!$L:$N,3,0)</f>
        <v>OLD TALLUK OFFICE</v>
      </c>
      <c r="E69" s="15" t="s">
        <v>137</v>
      </c>
      <c r="F69" s="20" t="s">
        <v>5</v>
      </c>
      <c r="G69" s="92" t="s">
        <v>468</v>
      </c>
      <c r="H69" s="36">
        <v>180101</v>
      </c>
      <c r="I69" s="9">
        <v>63</v>
      </c>
      <c r="J69" s="57" t="str">
        <f t="shared" si="9"/>
        <v>110/11KV MRS</v>
      </c>
      <c r="K69" s="57" t="s">
        <v>404</v>
      </c>
      <c r="L69" s="57" t="str">
        <f t="shared" si="7"/>
        <v>20030093101</v>
      </c>
      <c r="M69" s="41">
        <v>20030072067</v>
      </c>
      <c r="N69" s="41"/>
      <c r="O69" s="41"/>
      <c r="P69" s="64" t="s">
        <v>412</v>
      </c>
      <c r="Q69" s="64">
        <v>12655601</v>
      </c>
      <c r="R69" s="80">
        <v>41244</v>
      </c>
      <c r="S69" s="64">
        <v>2500</v>
      </c>
      <c r="T69" s="41">
        <v>1</v>
      </c>
      <c r="U69" s="41">
        <v>1</v>
      </c>
      <c r="V69" s="41" t="s">
        <v>279</v>
      </c>
      <c r="W69" s="41">
        <v>20</v>
      </c>
      <c r="X69" s="82">
        <f t="shared" si="10"/>
        <v>20</v>
      </c>
      <c r="Y69" s="82">
        <v>20</v>
      </c>
      <c r="Z69" s="41" t="s">
        <v>369</v>
      </c>
      <c r="AA69" s="61" t="s">
        <v>317</v>
      </c>
      <c r="AB69" s="41"/>
      <c r="AC69" s="41" t="s">
        <v>399</v>
      </c>
      <c r="AD69" s="69">
        <v>3.9264260000000002</v>
      </c>
      <c r="AE69" s="69">
        <v>75.580804799999996</v>
      </c>
      <c r="AF69" s="68" t="str">
        <f t="shared" si="8"/>
        <v>http://maps.google.com/maps?q=loc:3.926426,75.5808048</v>
      </c>
    </row>
    <row r="70" spans="1:32">
      <c r="A70" s="41" t="s">
        <v>138</v>
      </c>
      <c r="B70" s="11" t="s">
        <v>171</v>
      </c>
      <c r="C70" s="11">
        <v>69</v>
      </c>
      <c r="D70" s="88" t="str">
        <f>VLOOKUP(A70,[1]dtlms!$L:$N,3,0)</f>
        <v>KISHOR KUMAR</v>
      </c>
      <c r="E70" s="13" t="s">
        <v>139</v>
      </c>
      <c r="F70" s="38" t="s">
        <v>241</v>
      </c>
      <c r="G70" s="91" t="s">
        <v>469</v>
      </c>
      <c r="H70" s="83">
        <v>180413</v>
      </c>
      <c r="I70" s="12">
        <v>63</v>
      </c>
      <c r="J70" s="57" t="str">
        <f t="shared" si="9"/>
        <v>110/11KV MANDLI</v>
      </c>
      <c r="K70" s="57" t="s">
        <v>403</v>
      </c>
      <c r="L70" s="57" t="str">
        <f t="shared" si="7"/>
        <v>20030093118</v>
      </c>
      <c r="M70" s="41">
        <v>20030072287</v>
      </c>
      <c r="N70" s="41"/>
      <c r="O70" s="41"/>
      <c r="P70" s="64" t="s">
        <v>412</v>
      </c>
      <c r="Q70" s="64">
        <v>14846032</v>
      </c>
      <c r="R70" s="80">
        <v>41974</v>
      </c>
      <c r="S70" s="64">
        <v>2500</v>
      </c>
      <c r="T70" s="41">
        <v>1</v>
      </c>
      <c r="U70" s="41">
        <v>1</v>
      </c>
      <c r="V70" s="41" t="s">
        <v>283</v>
      </c>
      <c r="W70" s="41">
        <v>15</v>
      </c>
      <c r="X70" s="82">
        <f t="shared" si="10"/>
        <v>15</v>
      </c>
      <c r="Y70" s="82">
        <v>15</v>
      </c>
      <c r="Z70" s="41" t="s">
        <v>375</v>
      </c>
      <c r="AA70" s="61" t="s">
        <v>345</v>
      </c>
      <c r="AB70" s="41"/>
      <c r="AC70" s="41" t="s">
        <v>399</v>
      </c>
      <c r="AD70" s="69">
        <v>13.924916260710001</v>
      </c>
      <c r="AE70" s="69">
        <v>75.578673116329995</v>
      </c>
      <c r="AF70" s="68" t="str">
        <f t="shared" si="8"/>
        <v>http://maps.google.com/maps?q=loc:13.92491626071,75.57867311633</v>
      </c>
    </row>
    <row r="71" spans="1:32">
      <c r="A71" s="41" t="s">
        <v>140</v>
      </c>
      <c r="B71" s="11" t="s">
        <v>171</v>
      </c>
      <c r="C71" s="11">
        <v>70</v>
      </c>
      <c r="D71" s="88" t="str">
        <f>VLOOKUP(A71,[1]dtlms!$L:$N,3,0)</f>
        <v>GAYATRI SCHOOL</v>
      </c>
      <c r="E71" s="13" t="s">
        <v>141</v>
      </c>
      <c r="F71" s="37" t="s">
        <v>239</v>
      </c>
      <c r="G71" s="92" t="s">
        <v>470</v>
      </c>
      <c r="H71" s="83">
        <v>180420</v>
      </c>
      <c r="I71" s="12">
        <v>63</v>
      </c>
      <c r="J71" s="57" t="str">
        <f t="shared" si="9"/>
        <v>110/11KV MANDLI</v>
      </c>
      <c r="K71" s="57" t="s">
        <v>403</v>
      </c>
      <c r="L71" s="57">
        <f t="shared" si="7"/>
        <v>0</v>
      </c>
      <c r="M71" s="41" t="s">
        <v>268</v>
      </c>
      <c r="N71" s="41"/>
      <c r="O71" s="41"/>
      <c r="P71" s="64" t="s">
        <v>412</v>
      </c>
      <c r="Q71" s="64">
        <v>15470646</v>
      </c>
      <c r="R71" s="80">
        <v>42064</v>
      </c>
      <c r="S71" s="64">
        <v>2500</v>
      </c>
      <c r="T71" s="41">
        <v>1</v>
      </c>
      <c r="U71" s="41">
        <v>1</v>
      </c>
      <c r="V71" s="41" t="s">
        <v>279</v>
      </c>
      <c r="W71" s="41">
        <v>20</v>
      </c>
      <c r="X71" s="82">
        <f t="shared" si="10"/>
        <v>20</v>
      </c>
      <c r="Y71" s="82">
        <v>20</v>
      </c>
      <c r="Z71" s="41" t="s">
        <v>384</v>
      </c>
      <c r="AA71" s="61" t="s">
        <v>346</v>
      </c>
      <c r="AB71" s="41"/>
      <c r="AC71" s="41" t="s">
        <v>399</v>
      </c>
      <c r="AD71" s="69">
        <v>13.925230659189999</v>
      </c>
      <c r="AE71" s="69">
        <v>75.574998836459997</v>
      </c>
      <c r="AF71" s="68" t="str">
        <f t="shared" si="8"/>
        <v>http://maps.google.com/maps?q=loc:13.92523065919,75.57499883646</v>
      </c>
    </row>
    <row r="72" spans="1:32">
      <c r="A72" s="41" t="s">
        <v>142</v>
      </c>
      <c r="B72" s="11" t="s">
        <v>171</v>
      </c>
      <c r="C72" s="11">
        <v>71</v>
      </c>
      <c r="D72" s="88" t="str">
        <f>VLOOKUP(A72,[1]dtlms!$L:$N,3,0)</f>
        <v>MAHENDRA KUMAR JAIN</v>
      </c>
      <c r="E72" s="13" t="s">
        <v>143</v>
      </c>
      <c r="F72" s="37" t="s">
        <v>5</v>
      </c>
      <c r="G72" s="92" t="s">
        <v>468</v>
      </c>
      <c r="H72" s="83">
        <v>180101</v>
      </c>
      <c r="I72" s="12">
        <v>63</v>
      </c>
      <c r="J72" s="57" t="str">
        <f t="shared" si="9"/>
        <v>110/11KV MRS</v>
      </c>
      <c r="K72" s="57" t="s">
        <v>403</v>
      </c>
      <c r="L72" s="57" t="str">
        <f t="shared" si="7"/>
        <v>20030093101</v>
      </c>
      <c r="M72" s="41">
        <v>20030072082</v>
      </c>
      <c r="N72" s="41"/>
      <c r="O72" s="41"/>
      <c r="P72" s="64" t="s">
        <v>412</v>
      </c>
      <c r="Q72" s="64">
        <v>15449706</v>
      </c>
      <c r="R72" s="80">
        <v>42036</v>
      </c>
      <c r="S72" s="64">
        <v>2500</v>
      </c>
      <c r="T72" s="41">
        <v>1</v>
      </c>
      <c r="U72" s="41">
        <v>1</v>
      </c>
      <c r="V72" s="41" t="s">
        <v>279</v>
      </c>
      <c r="W72" s="41">
        <v>20</v>
      </c>
      <c r="X72" s="82">
        <f t="shared" si="10"/>
        <v>20</v>
      </c>
      <c r="Y72" s="82">
        <v>20</v>
      </c>
      <c r="Z72" s="41" t="s">
        <v>375</v>
      </c>
      <c r="AA72" s="61" t="s">
        <v>347</v>
      </c>
      <c r="AB72" s="41"/>
      <c r="AC72" s="41" t="s">
        <v>399</v>
      </c>
      <c r="AD72" s="69">
        <v>13.9259459</v>
      </c>
      <c r="AE72" s="69">
        <v>75.580074999999994</v>
      </c>
      <c r="AF72" s="68" t="str">
        <f t="shared" si="8"/>
        <v>http://maps.google.com/maps?q=loc:13.9259459,75.580075</v>
      </c>
    </row>
    <row r="73" spans="1:32">
      <c r="A73" s="41" t="s">
        <v>144</v>
      </c>
      <c r="B73" s="11" t="s">
        <v>171</v>
      </c>
      <c r="C73" s="11">
        <v>72</v>
      </c>
      <c r="D73" s="88" t="str">
        <f>VLOOKUP(A73,[1]dtlms!$L:$N,3,0)</f>
        <v>BHAGAVAN JAIN</v>
      </c>
      <c r="E73" s="17" t="s">
        <v>145</v>
      </c>
      <c r="F73" s="38" t="s">
        <v>241</v>
      </c>
      <c r="G73" s="91" t="s">
        <v>469</v>
      </c>
      <c r="H73" s="83">
        <v>180413</v>
      </c>
      <c r="I73" s="11">
        <v>100</v>
      </c>
      <c r="J73" s="57" t="str">
        <f t="shared" si="9"/>
        <v>110/11KV MANDLI</v>
      </c>
      <c r="K73" s="57" t="s">
        <v>403</v>
      </c>
      <c r="L73" s="57" t="str">
        <f t="shared" si="7"/>
        <v>20030093118</v>
      </c>
      <c r="M73" s="41">
        <v>0</v>
      </c>
      <c r="N73" s="41"/>
      <c r="O73" s="41"/>
      <c r="P73" s="64" t="s">
        <v>418</v>
      </c>
      <c r="Q73" s="64">
        <v>16297762</v>
      </c>
      <c r="R73" s="80">
        <v>42491</v>
      </c>
      <c r="S73" s="64">
        <v>2500</v>
      </c>
      <c r="T73" s="41">
        <v>1</v>
      </c>
      <c r="U73" s="41">
        <v>1</v>
      </c>
      <c r="V73" s="41" t="s">
        <v>279</v>
      </c>
      <c r="W73" s="41">
        <v>20</v>
      </c>
      <c r="X73" s="82">
        <f t="shared" si="10"/>
        <v>20</v>
      </c>
      <c r="Y73" s="82">
        <v>20</v>
      </c>
      <c r="Z73" s="41" t="s">
        <v>375</v>
      </c>
      <c r="AA73" s="61" t="s">
        <v>318</v>
      </c>
      <c r="AB73" s="41"/>
      <c r="AC73" s="41" t="s">
        <v>399</v>
      </c>
      <c r="AD73" s="69">
        <v>13.92277054965</v>
      </c>
      <c r="AE73" s="69">
        <v>75.577545619549994</v>
      </c>
      <c r="AF73" s="68" t="str">
        <f t="shared" si="8"/>
        <v>http://maps.google.com/maps?q=loc:13.92277054965,75.57754561955</v>
      </c>
    </row>
    <row r="74" spans="1:32">
      <c r="A74" s="41" t="s">
        <v>146</v>
      </c>
      <c r="B74" s="11" t="s">
        <v>171</v>
      </c>
      <c r="C74" s="11">
        <v>73</v>
      </c>
      <c r="D74" s="88" t="str">
        <f>VLOOKUP(A74,[1]dtlms!$L:$N,3,0)</f>
        <v>NARAYANA COMPLEX</v>
      </c>
      <c r="E74" s="13" t="s">
        <v>147</v>
      </c>
      <c r="F74" s="37" t="s">
        <v>5</v>
      </c>
      <c r="G74" s="92" t="s">
        <v>468</v>
      </c>
      <c r="H74" s="83">
        <v>180101</v>
      </c>
      <c r="I74" s="12">
        <v>63</v>
      </c>
      <c r="J74" s="57" t="str">
        <f t="shared" si="9"/>
        <v>110/11KV MRS</v>
      </c>
      <c r="K74" s="57" t="s">
        <v>403</v>
      </c>
      <c r="L74" s="57" t="str">
        <f t="shared" si="7"/>
        <v>20030093101</v>
      </c>
      <c r="M74" s="41">
        <v>0</v>
      </c>
      <c r="N74" s="41"/>
      <c r="O74" s="41"/>
      <c r="P74" s="64" t="s">
        <v>412</v>
      </c>
      <c r="Q74" s="64">
        <v>16297756</v>
      </c>
      <c r="R74" s="80">
        <v>41760</v>
      </c>
      <c r="S74" s="64">
        <v>2500</v>
      </c>
      <c r="T74" s="41">
        <v>1</v>
      </c>
      <c r="U74" s="41">
        <v>1</v>
      </c>
      <c r="V74" s="41" t="s">
        <v>283</v>
      </c>
      <c r="W74" s="41">
        <v>15</v>
      </c>
      <c r="X74" s="82">
        <f t="shared" si="10"/>
        <v>15</v>
      </c>
      <c r="Y74" s="82">
        <v>15</v>
      </c>
      <c r="Z74" s="41" t="s">
        <v>375</v>
      </c>
      <c r="AA74" s="61" t="s">
        <v>319</v>
      </c>
      <c r="AB74" s="41"/>
      <c r="AC74" s="41" t="s">
        <v>399</v>
      </c>
      <c r="AD74" s="69">
        <v>13.928702700000001</v>
      </c>
      <c r="AE74" s="69">
        <v>75.576826499999996</v>
      </c>
      <c r="AF74" s="68" t="str">
        <f t="shared" si="8"/>
        <v>http://maps.google.com/maps?q=loc:13.9287027,75.5768265</v>
      </c>
    </row>
    <row r="75" spans="1:32">
      <c r="A75" s="41" t="s">
        <v>148</v>
      </c>
      <c r="B75" s="11" t="s">
        <v>171</v>
      </c>
      <c r="C75" s="11">
        <v>74</v>
      </c>
      <c r="D75" s="88" t="str">
        <f>VLOOKUP(A75,[1]dtlms!$L:$N,3,0)</f>
        <v>PRABHU</v>
      </c>
      <c r="E75" s="13" t="s">
        <v>149</v>
      </c>
      <c r="F75" s="37" t="s">
        <v>5</v>
      </c>
      <c r="G75" s="92" t="s">
        <v>468</v>
      </c>
      <c r="H75" s="83">
        <v>180101</v>
      </c>
      <c r="I75" s="12">
        <v>100</v>
      </c>
      <c r="J75" s="57" t="str">
        <f t="shared" si="9"/>
        <v>110/11KV MRS</v>
      </c>
      <c r="K75" s="57" t="s">
        <v>403</v>
      </c>
      <c r="L75" s="57" t="str">
        <f t="shared" si="7"/>
        <v>20030093101</v>
      </c>
      <c r="M75" s="41">
        <v>0</v>
      </c>
      <c r="N75" s="41"/>
      <c r="O75" s="41"/>
      <c r="P75" s="64" t="s">
        <v>412</v>
      </c>
      <c r="Q75" s="64">
        <v>16300857</v>
      </c>
      <c r="R75" s="80">
        <v>42522</v>
      </c>
      <c r="S75" s="64">
        <v>2500</v>
      </c>
      <c r="T75" s="41">
        <v>1</v>
      </c>
      <c r="U75" s="41">
        <v>1</v>
      </c>
      <c r="V75" s="41" t="s">
        <v>280</v>
      </c>
      <c r="W75" s="41">
        <v>30</v>
      </c>
      <c r="X75" s="82">
        <f t="shared" si="10"/>
        <v>30</v>
      </c>
      <c r="Y75" s="82">
        <v>30</v>
      </c>
      <c r="Z75" s="41" t="s">
        <v>375</v>
      </c>
      <c r="AA75" s="61" t="s">
        <v>320</v>
      </c>
      <c r="AB75" s="41"/>
      <c r="AC75" s="41" t="s">
        <v>399</v>
      </c>
      <c r="AD75" s="69">
        <v>13.932041283589999</v>
      </c>
      <c r="AE75" s="69">
        <v>75.583720514289993</v>
      </c>
      <c r="AF75" s="68" t="str">
        <f t="shared" si="8"/>
        <v>http://maps.google.com/maps?q=loc:13.93204128359,75.58372051429</v>
      </c>
    </row>
    <row r="76" spans="1:32">
      <c r="A76" s="41" t="s">
        <v>150</v>
      </c>
      <c r="B76" s="11" t="s">
        <v>171</v>
      </c>
      <c r="C76" s="11">
        <v>75</v>
      </c>
      <c r="D76" s="88" t="str">
        <f>VLOOKUP(A76,[1]dtlms!$L:$N,3,0)</f>
        <v>BLUE MAX</v>
      </c>
      <c r="E76" s="13" t="s">
        <v>151</v>
      </c>
      <c r="F76" s="37" t="s">
        <v>5</v>
      </c>
      <c r="G76" s="92" t="s">
        <v>468</v>
      </c>
      <c r="H76" s="83">
        <v>180101</v>
      </c>
      <c r="I76" s="12">
        <v>63</v>
      </c>
      <c r="J76" s="57" t="str">
        <f t="shared" si="9"/>
        <v>110/11KV MRS</v>
      </c>
      <c r="K76" s="57" t="s">
        <v>403</v>
      </c>
      <c r="L76" s="57" t="str">
        <f t="shared" si="7"/>
        <v>20030093101</v>
      </c>
      <c r="M76" s="41">
        <v>0</v>
      </c>
      <c r="N76" s="41"/>
      <c r="O76" s="41"/>
      <c r="P76" s="64" t="s">
        <v>418</v>
      </c>
      <c r="Q76" s="64">
        <v>16489088</v>
      </c>
      <c r="R76" s="80">
        <v>42644</v>
      </c>
      <c r="S76" s="64">
        <v>2500</v>
      </c>
      <c r="T76" s="41">
        <v>1</v>
      </c>
      <c r="U76" s="41">
        <v>1</v>
      </c>
      <c r="V76" s="41" t="s">
        <v>280</v>
      </c>
      <c r="W76" s="41">
        <v>30</v>
      </c>
      <c r="X76" s="82">
        <f t="shared" si="10"/>
        <v>30</v>
      </c>
      <c r="Y76" s="82">
        <v>30</v>
      </c>
      <c r="Z76" s="41" t="s">
        <v>375</v>
      </c>
      <c r="AA76" s="61" t="s">
        <v>348</v>
      </c>
      <c r="AB76" s="41"/>
      <c r="AC76" s="41" t="s">
        <v>399</v>
      </c>
      <c r="AD76" s="69">
        <v>13.925716189999999</v>
      </c>
      <c r="AE76" s="69">
        <v>75.577384429999995</v>
      </c>
      <c r="AF76" s="68" t="str">
        <f t="shared" si="8"/>
        <v>http://maps.google.com/maps?q=loc:13.92571619,75.57738443</v>
      </c>
    </row>
    <row r="77" spans="1:32">
      <c r="A77" s="41" t="s">
        <v>152</v>
      </c>
      <c r="B77" s="11" t="s">
        <v>171</v>
      </c>
      <c r="C77" s="11">
        <v>76</v>
      </c>
      <c r="D77" s="88" t="str">
        <f>VLOOKUP(A77,[1]dtlms!$L:$N,3,0)</f>
        <v>HARISH KUMAR</v>
      </c>
      <c r="E77" s="13" t="s">
        <v>153</v>
      </c>
      <c r="F77" s="38" t="s">
        <v>241</v>
      </c>
      <c r="G77" s="91" t="s">
        <v>469</v>
      </c>
      <c r="H77" s="83">
        <v>180413</v>
      </c>
      <c r="I77" s="12">
        <v>63</v>
      </c>
      <c r="J77" s="57" t="str">
        <f t="shared" si="9"/>
        <v>110/11KV MANDLI</v>
      </c>
      <c r="K77" s="57" t="s">
        <v>403</v>
      </c>
      <c r="L77" s="57" t="str">
        <f t="shared" si="7"/>
        <v>20030093118</v>
      </c>
      <c r="M77" s="41">
        <v>0</v>
      </c>
      <c r="N77" s="41"/>
      <c r="O77" s="41"/>
      <c r="P77" s="64" t="s">
        <v>412</v>
      </c>
      <c r="Q77" s="64">
        <v>16489097</v>
      </c>
      <c r="R77" s="80">
        <v>42644</v>
      </c>
      <c r="S77" s="64">
        <v>2500</v>
      </c>
      <c r="T77" s="41">
        <v>1</v>
      </c>
      <c r="U77" s="41">
        <v>1</v>
      </c>
      <c r="V77" s="41" t="s">
        <v>279</v>
      </c>
      <c r="W77" s="41">
        <v>20</v>
      </c>
      <c r="X77" s="82">
        <f t="shared" si="10"/>
        <v>20</v>
      </c>
      <c r="Y77" s="82">
        <v>20</v>
      </c>
      <c r="Z77" s="41" t="s">
        <v>375</v>
      </c>
      <c r="AA77" s="61" t="s">
        <v>321</v>
      </c>
      <c r="AB77" s="41"/>
      <c r="AC77" s="41" t="s">
        <v>397</v>
      </c>
      <c r="AD77" s="69">
        <v>13.92470941505</v>
      </c>
      <c r="AE77" s="69">
        <v>75.577895709700002</v>
      </c>
      <c r="AF77" s="68" t="str">
        <f t="shared" si="8"/>
        <v>http://maps.google.com/maps?q=loc:13.92470941505,75.5778957097</v>
      </c>
    </row>
    <row r="78" spans="1:32">
      <c r="A78" s="41" t="s">
        <v>154</v>
      </c>
      <c r="B78" s="11" t="s">
        <v>171</v>
      </c>
      <c r="C78" s="11">
        <v>77</v>
      </c>
      <c r="D78" s="88" t="e">
        <f>VLOOKUP(A78,[1]dtlms!$L:$N,3,0)</f>
        <v>#N/A</v>
      </c>
      <c r="E78" s="13" t="s">
        <v>155</v>
      </c>
      <c r="F78" s="37" t="s">
        <v>5</v>
      </c>
      <c r="G78" s="92" t="s">
        <v>468</v>
      </c>
      <c r="H78" s="83">
        <v>180101</v>
      </c>
      <c r="I78" s="12">
        <v>100</v>
      </c>
      <c r="J78" s="57" t="str">
        <f t="shared" si="9"/>
        <v>110/11KV MRS</v>
      </c>
      <c r="K78" s="57" t="s">
        <v>403</v>
      </c>
      <c r="L78" s="57" t="str">
        <f t="shared" si="7"/>
        <v>20030093101</v>
      </c>
      <c r="M78" s="41">
        <v>0</v>
      </c>
      <c r="N78" s="41"/>
      <c r="O78" s="41"/>
      <c r="P78" s="64" t="s">
        <v>412</v>
      </c>
      <c r="Q78" s="64">
        <v>16505803</v>
      </c>
      <c r="R78" s="80">
        <v>42705</v>
      </c>
      <c r="S78" s="64">
        <v>2500</v>
      </c>
      <c r="T78" s="41">
        <v>1</v>
      </c>
      <c r="U78" s="41">
        <v>1</v>
      </c>
      <c r="V78" s="41" t="s">
        <v>279</v>
      </c>
      <c r="W78" s="41">
        <v>20</v>
      </c>
      <c r="X78" s="82">
        <f t="shared" si="10"/>
        <v>20</v>
      </c>
      <c r="Y78" s="82">
        <v>20</v>
      </c>
      <c r="Z78" s="41" t="s">
        <v>375</v>
      </c>
      <c r="AA78" s="61" t="s">
        <v>322</v>
      </c>
      <c r="AB78" s="41"/>
      <c r="AC78" s="41" t="s">
        <v>399</v>
      </c>
      <c r="AD78" s="69">
        <v>13.928082399999999</v>
      </c>
      <c r="AE78" s="69">
        <v>75.576160000000002</v>
      </c>
      <c r="AF78" s="68" t="str">
        <f t="shared" si="8"/>
        <v>http://maps.google.com/maps?q=loc:13.9280824,75.57616</v>
      </c>
    </row>
    <row r="79" spans="1:32">
      <c r="A79" s="41" t="s">
        <v>156</v>
      </c>
      <c r="B79" s="11" t="s">
        <v>171</v>
      </c>
      <c r="C79" s="11">
        <v>78</v>
      </c>
      <c r="D79" s="88" t="str">
        <f>VLOOKUP(A79,[1]dtlms!$L:$N,3,0)</f>
        <v>GAJANANA HEGDE</v>
      </c>
      <c r="E79" s="13" t="s">
        <v>157</v>
      </c>
      <c r="F79" s="37" t="s">
        <v>5</v>
      </c>
      <c r="G79" s="92" t="s">
        <v>468</v>
      </c>
      <c r="H79" s="83">
        <v>180101</v>
      </c>
      <c r="I79" s="12">
        <v>63</v>
      </c>
      <c r="J79" s="57" t="str">
        <f t="shared" si="9"/>
        <v>110/11KV MRS</v>
      </c>
      <c r="K79" s="57" t="s">
        <v>403</v>
      </c>
      <c r="L79" s="57" t="str">
        <f t="shared" si="7"/>
        <v>20030093101</v>
      </c>
      <c r="M79" s="41">
        <v>0</v>
      </c>
      <c r="N79" s="41"/>
      <c r="O79" s="41"/>
      <c r="P79" s="64" t="s">
        <v>412</v>
      </c>
      <c r="Q79" s="64">
        <v>16050770</v>
      </c>
      <c r="R79" s="80">
        <v>42705</v>
      </c>
      <c r="S79" s="64">
        <v>2500</v>
      </c>
      <c r="T79" s="41">
        <v>1</v>
      </c>
      <c r="U79" s="41">
        <v>1</v>
      </c>
      <c r="V79" s="41" t="s">
        <v>279</v>
      </c>
      <c r="W79" s="41">
        <v>20</v>
      </c>
      <c r="X79" s="82">
        <f t="shared" si="10"/>
        <v>20</v>
      </c>
      <c r="Y79" s="82">
        <v>20</v>
      </c>
      <c r="Z79" s="41" t="s">
        <v>375</v>
      </c>
      <c r="AA79" s="61" t="s">
        <v>323</v>
      </c>
      <c r="AB79" s="41"/>
      <c r="AC79" s="41" t="s">
        <v>399</v>
      </c>
      <c r="AD79" s="69">
        <v>13.9307015</v>
      </c>
      <c r="AE79" s="69">
        <v>75.584218300000003</v>
      </c>
      <c r="AF79" s="68" t="str">
        <f t="shared" si="8"/>
        <v>http://maps.google.com/maps?q=loc:13.9307015,75.5842183</v>
      </c>
    </row>
    <row r="80" spans="1:32">
      <c r="A80" s="41" t="s">
        <v>158</v>
      </c>
      <c r="B80" s="11" t="s">
        <v>171</v>
      </c>
      <c r="C80" s="11">
        <v>79</v>
      </c>
      <c r="D80" s="88" t="str">
        <f>VLOOKUP(A80,[1]dtlms!$L:$N,3,0)</f>
        <v>PRAMOD MEHTA</v>
      </c>
      <c r="E80" s="13" t="s">
        <v>165</v>
      </c>
      <c r="F80" s="37" t="s">
        <v>5</v>
      </c>
      <c r="G80" s="92" t="s">
        <v>468</v>
      </c>
      <c r="H80" s="83">
        <v>180101</v>
      </c>
      <c r="I80" s="12">
        <v>250</v>
      </c>
      <c r="J80" s="57" t="str">
        <f t="shared" si="9"/>
        <v>110/11KV MRS</v>
      </c>
      <c r="K80" s="57" t="s">
        <v>403</v>
      </c>
      <c r="L80" s="57" t="str">
        <f t="shared" si="7"/>
        <v>20030093101</v>
      </c>
      <c r="M80" s="41">
        <v>0</v>
      </c>
      <c r="N80" s="41"/>
      <c r="O80" s="41"/>
      <c r="P80" s="64" t="s">
        <v>451</v>
      </c>
      <c r="Q80" s="64">
        <v>3029310</v>
      </c>
      <c r="R80" s="80">
        <v>43132</v>
      </c>
      <c r="S80" s="64">
        <v>12000</v>
      </c>
      <c r="T80" s="41">
        <v>1</v>
      </c>
      <c r="U80" s="41">
        <v>1</v>
      </c>
      <c r="V80" s="41" t="s">
        <v>280</v>
      </c>
      <c r="W80" s="41">
        <v>30</v>
      </c>
      <c r="X80" s="82">
        <f t="shared" si="10"/>
        <v>30</v>
      </c>
      <c r="Y80" s="82">
        <v>30</v>
      </c>
      <c r="Z80" s="41" t="s">
        <v>375</v>
      </c>
      <c r="AA80" s="61" t="s">
        <v>349</v>
      </c>
      <c r="AB80" s="41"/>
      <c r="AC80" s="41" t="s">
        <v>399</v>
      </c>
      <c r="AD80" s="69">
        <v>13.930715899999999</v>
      </c>
      <c r="AE80" s="69">
        <v>75.583160100000001</v>
      </c>
      <c r="AF80" s="68" t="str">
        <f t="shared" si="8"/>
        <v>http://maps.google.com/maps?q=loc:13.9307159,75.5831601</v>
      </c>
    </row>
    <row r="81" spans="1:32">
      <c r="A81" s="41" t="s">
        <v>159</v>
      </c>
      <c r="B81" s="11" t="s">
        <v>171</v>
      </c>
      <c r="C81" s="11">
        <v>80</v>
      </c>
      <c r="D81" s="88" t="str">
        <f>VLOOKUP(A81,[1]dtlms!$L:$N,3,0)</f>
        <v xml:space="preserve">MAHENDRA KUMAR </v>
      </c>
      <c r="E81" s="13" t="s">
        <v>166</v>
      </c>
      <c r="F81" s="37" t="s">
        <v>239</v>
      </c>
      <c r="G81" s="92" t="s">
        <v>470</v>
      </c>
      <c r="H81" s="83">
        <v>180420</v>
      </c>
      <c r="I81" s="12">
        <v>100</v>
      </c>
      <c r="J81" s="57" t="str">
        <f t="shared" si="9"/>
        <v>110/11KV MANDLI</v>
      </c>
      <c r="K81" s="57" t="s">
        <v>403</v>
      </c>
      <c r="L81" s="57">
        <f t="shared" si="7"/>
        <v>0</v>
      </c>
      <c r="M81" s="41">
        <v>0</v>
      </c>
      <c r="N81" s="41"/>
      <c r="O81" s="41"/>
      <c r="P81" s="64" t="s">
        <v>412</v>
      </c>
      <c r="Q81" s="64">
        <v>18340656</v>
      </c>
      <c r="R81" s="80">
        <v>43221</v>
      </c>
      <c r="S81" s="64">
        <v>2500</v>
      </c>
      <c r="T81" s="41">
        <v>1</v>
      </c>
      <c r="U81" s="41">
        <v>1</v>
      </c>
      <c r="V81" s="41" t="s">
        <v>282</v>
      </c>
      <c r="W81" s="41">
        <v>10</v>
      </c>
      <c r="X81" s="82">
        <f t="shared" si="10"/>
        <v>10</v>
      </c>
      <c r="Y81" s="82">
        <v>10</v>
      </c>
      <c r="Z81" s="41" t="s">
        <v>385</v>
      </c>
      <c r="AA81" s="61" t="s">
        <v>350</v>
      </c>
      <c r="AB81" s="41"/>
      <c r="AC81" s="41" t="s">
        <v>399</v>
      </c>
      <c r="AD81" s="69">
        <v>13.92785646367</v>
      </c>
      <c r="AE81" s="69">
        <v>75.575472891220002</v>
      </c>
      <c r="AF81" s="68" t="str">
        <f t="shared" si="8"/>
        <v>http://maps.google.com/maps?q=loc:13.92785646367,75.57547289122</v>
      </c>
    </row>
    <row r="82" spans="1:32">
      <c r="A82" s="41" t="s">
        <v>160</v>
      </c>
      <c r="B82" s="8" t="s">
        <v>171</v>
      </c>
      <c r="C82" s="8">
        <v>81</v>
      </c>
      <c r="D82" s="88" t="str">
        <f>VLOOKUP(A82,[1]dtlms!$L:$N,3,0)</f>
        <v>SUPERIDENT OF POLICE</v>
      </c>
      <c r="E82" s="15" t="s">
        <v>167</v>
      </c>
      <c r="F82" s="20" t="s">
        <v>5</v>
      </c>
      <c r="G82" s="92" t="s">
        <v>468</v>
      </c>
      <c r="H82" s="36">
        <v>180101</v>
      </c>
      <c r="I82" s="9">
        <v>100</v>
      </c>
      <c r="J82" s="57" t="str">
        <f t="shared" si="9"/>
        <v>110/11KV MRS</v>
      </c>
      <c r="K82" s="57" t="s">
        <v>404</v>
      </c>
      <c r="L82" s="57" t="str">
        <f t="shared" si="7"/>
        <v>20030093101</v>
      </c>
      <c r="M82" s="41">
        <v>0</v>
      </c>
      <c r="N82" s="41"/>
      <c r="O82" s="41"/>
      <c r="P82" s="64" t="s">
        <v>412</v>
      </c>
      <c r="Q82" s="64">
        <v>19410900</v>
      </c>
      <c r="R82" s="80">
        <v>43525</v>
      </c>
      <c r="S82" s="64">
        <v>2500</v>
      </c>
      <c r="T82" s="41">
        <v>1</v>
      </c>
      <c r="U82" s="41">
        <v>1</v>
      </c>
      <c r="V82" s="41" t="s">
        <v>281</v>
      </c>
      <c r="W82" s="41">
        <v>40</v>
      </c>
      <c r="X82" s="82">
        <f t="shared" si="10"/>
        <v>40</v>
      </c>
      <c r="Y82" s="82">
        <v>40</v>
      </c>
      <c r="Z82" s="41" t="s">
        <v>386</v>
      </c>
      <c r="AA82" s="61">
        <v>2222875</v>
      </c>
      <c r="AB82" s="41"/>
      <c r="AC82" s="41" t="s">
        <v>399</v>
      </c>
      <c r="AD82" s="69">
        <v>13.93076715792</v>
      </c>
      <c r="AE82" s="69">
        <v>75.583420445830001</v>
      </c>
      <c r="AF82" s="68" t="str">
        <f t="shared" si="8"/>
        <v>http://maps.google.com/maps?q=loc:13.93076715792,75.58342044583</v>
      </c>
    </row>
    <row r="83" spans="1:32">
      <c r="A83" s="41" t="s">
        <v>161</v>
      </c>
      <c r="B83" s="11" t="s">
        <v>171</v>
      </c>
      <c r="C83" s="11">
        <v>82</v>
      </c>
      <c r="D83" s="88" t="str">
        <f>VLOOKUP(A83,[1]dtlms!$L:$N,3,0)</f>
        <v>BHARATH OT ROAD</v>
      </c>
      <c r="E83" s="17" t="s">
        <v>168</v>
      </c>
      <c r="F83" s="38" t="s">
        <v>242</v>
      </c>
      <c r="G83" s="91" t="s">
        <v>471</v>
      </c>
      <c r="H83" s="83">
        <v>180403</v>
      </c>
      <c r="I83" s="11">
        <v>63</v>
      </c>
      <c r="J83" s="57" t="str">
        <f t="shared" si="9"/>
        <v>110/11KV MANDLI</v>
      </c>
      <c r="K83" s="57" t="s">
        <v>403</v>
      </c>
      <c r="L83" s="57" t="str">
        <f t="shared" si="7"/>
        <v>20030093123</v>
      </c>
      <c r="M83" s="41">
        <v>0</v>
      </c>
      <c r="N83" s="41" t="s">
        <v>454</v>
      </c>
      <c r="O83" s="41"/>
      <c r="P83" s="64" t="s">
        <v>412</v>
      </c>
      <c r="Q83" s="64">
        <v>20287869</v>
      </c>
      <c r="R83" s="80">
        <v>43891</v>
      </c>
      <c r="S83" s="64">
        <v>2500</v>
      </c>
      <c r="T83" s="41">
        <v>1</v>
      </c>
      <c r="U83" s="41">
        <v>1</v>
      </c>
      <c r="V83" s="41" t="s">
        <v>279</v>
      </c>
      <c r="W83" s="41">
        <v>20</v>
      </c>
      <c r="X83" s="82">
        <f t="shared" si="10"/>
        <v>20</v>
      </c>
      <c r="Y83" s="82">
        <v>20</v>
      </c>
      <c r="Z83" s="41" t="s">
        <v>376</v>
      </c>
      <c r="AA83" s="61" t="s">
        <v>324</v>
      </c>
      <c r="AB83" s="41"/>
      <c r="AC83" s="41" t="s">
        <v>399</v>
      </c>
      <c r="AD83" s="69">
        <v>13.9281916</v>
      </c>
      <c r="AE83" s="69">
        <v>75.572875699999997</v>
      </c>
      <c r="AF83" s="68" t="str">
        <f t="shared" si="8"/>
        <v>http://maps.google.com/maps?q=loc:13.9281916,75.5728757</v>
      </c>
    </row>
    <row r="84" spans="1:32">
      <c r="A84" s="41" t="s">
        <v>162</v>
      </c>
      <c r="B84" s="11" t="s">
        <v>171</v>
      </c>
      <c r="C84" s="11">
        <v>83</v>
      </c>
      <c r="D84" s="88" t="str">
        <f>VLOOKUP(A84,[1]dtlms!$L:$N,3,0)</f>
        <v>AMBALAL</v>
      </c>
      <c r="E84" s="13" t="s">
        <v>169</v>
      </c>
      <c r="F84" s="37" t="s">
        <v>5</v>
      </c>
      <c r="G84" s="92" t="s">
        <v>468</v>
      </c>
      <c r="H84" s="83">
        <v>180101</v>
      </c>
      <c r="I84" s="12">
        <v>100</v>
      </c>
      <c r="J84" s="57" t="str">
        <f t="shared" si="9"/>
        <v>110/11KV MRS</v>
      </c>
      <c r="K84" s="57" t="s">
        <v>403</v>
      </c>
      <c r="L84" s="57" t="str">
        <f t="shared" si="7"/>
        <v>20030093101</v>
      </c>
      <c r="M84" s="41">
        <v>0</v>
      </c>
      <c r="N84" s="41"/>
      <c r="O84" s="41"/>
      <c r="P84" s="64" t="s">
        <v>412</v>
      </c>
      <c r="Q84" s="64">
        <v>20287868</v>
      </c>
      <c r="R84" s="80">
        <v>43891</v>
      </c>
      <c r="S84" s="64">
        <v>2500</v>
      </c>
      <c r="T84" s="41">
        <v>1</v>
      </c>
      <c r="U84" s="41">
        <v>1</v>
      </c>
      <c r="V84" s="41" t="s">
        <v>280</v>
      </c>
      <c r="W84" s="41">
        <v>30</v>
      </c>
      <c r="X84" s="82">
        <f t="shared" si="10"/>
        <v>30</v>
      </c>
      <c r="Y84" s="82">
        <v>30</v>
      </c>
      <c r="Z84" s="41" t="s">
        <v>387</v>
      </c>
      <c r="AA84" s="61" t="s">
        <v>351</v>
      </c>
      <c r="AB84" s="41"/>
      <c r="AC84" s="41" t="s">
        <v>399</v>
      </c>
      <c r="AD84" s="69">
        <v>13.92647647557</v>
      </c>
      <c r="AE84" s="69">
        <v>75.580947334580003</v>
      </c>
      <c r="AF84" s="68" t="str">
        <f t="shared" si="8"/>
        <v>http://maps.google.com/maps?q=loc:13.92647647557,75.58094733458</v>
      </c>
    </row>
    <row r="85" spans="1:32">
      <c r="A85" s="41" t="s">
        <v>163</v>
      </c>
      <c r="B85" s="11" t="s">
        <v>171</v>
      </c>
      <c r="C85" s="11">
        <v>84</v>
      </c>
      <c r="D85" s="88" t="str">
        <f>VLOOKUP(A85,[1]dtlms!$L:$N,3,0)</f>
        <v>BALEGUNDI KR PURAM ROAD</v>
      </c>
      <c r="E85" s="13" t="s">
        <v>243</v>
      </c>
      <c r="F85" s="37" t="s">
        <v>239</v>
      </c>
      <c r="G85" s="92" t="s">
        <v>470</v>
      </c>
      <c r="H85" s="83">
        <v>180420</v>
      </c>
      <c r="I85" s="12">
        <v>100</v>
      </c>
      <c r="J85" s="57" t="str">
        <f t="shared" si="9"/>
        <v>110/11KV MANDLI</v>
      </c>
      <c r="K85" s="57" t="s">
        <v>403</v>
      </c>
      <c r="L85" s="57">
        <f t="shared" si="7"/>
        <v>0</v>
      </c>
      <c r="M85" s="41">
        <v>0</v>
      </c>
      <c r="N85" s="41" t="s">
        <v>454</v>
      </c>
      <c r="O85" s="41"/>
      <c r="P85" s="64" t="s">
        <v>412</v>
      </c>
      <c r="Q85" s="64">
        <v>20311747</v>
      </c>
      <c r="R85" s="80">
        <v>44044</v>
      </c>
      <c r="S85" s="64">
        <v>2500</v>
      </c>
      <c r="T85" s="41">
        <v>1</v>
      </c>
      <c r="U85" s="41">
        <v>1</v>
      </c>
      <c r="V85" s="41" t="s">
        <v>280</v>
      </c>
      <c r="W85" s="41">
        <v>30</v>
      </c>
      <c r="X85" s="82">
        <f t="shared" si="10"/>
        <v>30</v>
      </c>
      <c r="Y85" s="82">
        <v>30</v>
      </c>
      <c r="Z85" s="41" t="s">
        <v>388</v>
      </c>
      <c r="AA85" s="61" t="s">
        <v>325</v>
      </c>
      <c r="AB85" s="41"/>
      <c r="AC85" s="41" t="s">
        <v>399</v>
      </c>
      <c r="AD85" s="69">
        <v>13.92535446468</v>
      </c>
      <c r="AE85" s="69">
        <v>75.572933323360004</v>
      </c>
      <c r="AF85" s="68" t="str">
        <f t="shared" si="8"/>
        <v>http://maps.google.com/maps?q=loc:13.92535446468,75.57293332336</v>
      </c>
    </row>
    <row r="86" spans="1:32">
      <c r="A86" s="41" t="s">
        <v>164</v>
      </c>
      <c r="B86" s="11" t="s">
        <v>171</v>
      </c>
      <c r="C86" s="11">
        <v>85</v>
      </c>
      <c r="D86" s="88" t="str">
        <f>VLOOKUP(A86,[1]dtlms!$L:$N,3,0)</f>
        <v>DHINESH KOTARI</v>
      </c>
      <c r="E86" s="13" t="s">
        <v>170</v>
      </c>
      <c r="F86" s="37" t="s">
        <v>5</v>
      </c>
      <c r="G86" s="92" t="s">
        <v>468</v>
      </c>
      <c r="H86" s="83">
        <v>180101</v>
      </c>
      <c r="I86" s="12">
        <v>100</v>
      </c>
      <c r="J86" s="57" t="str">
        <f t="shared" si="9"/>
        <v>110/11KV MRS</v>
      </c>
      <c r="K86" s="57" t="s">
        <v>403</v>
      </c>
      <c r="L86" s="57" t="str">
        <f t="shared" si="7"/>
        <v>20030093101</v>
      </c>
      <c r="M86" s="41">
        <v>0</v>
      </c>
      <c r="N86" s="41"/>
      <c r="O86" s="41"/>
      <c r="P86" s="64" t="s">
        <v>412</v>
      </c>
      <c r="Q86" s="64">
        <v>18252677</v>
      </c>
      <c r="R86" s="80">
        <v>44044</v>
      </c>
      <c r="S86" s="64">
        <v>2500</v>
      </c>
      <c r="T86" s="41">
        <v>1</v>
      </c>
      <c r="U86" s="41">
        <v>1</v>
      </c>
      <c r="V86" s="41" t="s">
        <v>280</v>
      </c>
      <c r="W86" s="41">
        <v>30</v>
      </c>
      <c r="X86" s="82">
        <f t="shared" si="10"/>
        <v>30</v>
      </c>
      <c r="Y86" s="82">
        <v>30</v>
      </c>
      <c r="Z86" s="41" t="s">
        <v>406</v>
      </c>
      <c r="AA86" s="61" t="s">
        <v>326</v>
      </c>
      <c r="AB86" s="41"/>
      <c r="AC86" s="41" t="s">
        <v>399</v>
      </c>
      <c r="AD86" s="69">
        <v>13.93079762166</v>
      </c>
      <c r="AE86" s="69">
        <v>75.584797256510001</v>
      </c>
      <c r="AF86" s="68" t="str">
        <f t="shared" si="8"/>
        <v>http://maps.google.com/maps?q=loc:13.93079762166,75.58479725651</v>
      </c>
    </row>
    <row r="87" spans="1:32">
      <c r="A87" s="41" t="s">
        <v>179</v>
      </c>
      <c r="B87" s="12" t="s">
        <v>171</v>
      </c>
      <c r="C87" s="11">
        <v>86</v>
      </c>
      <c r="D87" s="88" t="str">
        <f>VLOOKUP(A87,[1]dtlms!$L:$N,3,0)</f>
        <v>SHAKTI GANAPATHI TC</v>
      </c>
      <c r="E87" s="13" t="s">
        <v>174</v>
      </c>
      <c r="F87" s="37" t="s">
        <v>239</v>
      </c>
      <c r="G87" s="92" t="s">
        <v>470</v>
      </c>
      <c r="H87" s="83">
        <v>180420</v>
      </c>
      <c r="I87" s="12">
        <v>63</v>
      </c>
      <c r="J87" s="57" t="str">
        <f t="shared" si="9"/>
        <v>110/11KV MANDLI</v>
      </c>
      <c r="K87" s="57" t="s">
        <v>403</v>
      </c>
      <c r="L87" s="57">
        <f t="shared" si="7"/>
        <v>0</v>
      </c>
      <c r="M87" s="41">
        <v>0</v>
      </c>
      <c r="N87" s="41" t="s">
        <v>454</v>
      </c>
      <c r="O87" s="41"/>
      <c r="P87" s="64" t="s">
        <v>412</v>
      </c>
      <c r="Q87" s="64">
        <v>21366078</v>
      </c>
      <c r="R87" s="80"/>
      <c r="S87" s="64">
        <v>2500</v>
      </c>
      <c r="T87" s="41">
        <v>1</v>
      </c>
      <c r="U87" s="41">
        <v>1</v>
      </c>
      <c r="V87" s="41" t="s">
        <v>279</v>
      </c>
      <c r="W87" s="41">
        <v>20</v>
      </c>
      <c r="X87" s="82">
        <f t="shared" si="10"/>
        <v>20</v>
      </c>
      <c r="Y87" s="82">
        <v>20</v>
      </c>
      <c r="Z87" s="41" t="s">
        <v>389</v>
      </c>
      <c r="AA87" s="61" t="s">
        <v>327</v>
      </c>
      <c r="AB87" s="41"/>
      <c r="AC87" s="41" t="s">
        <v>397</v>
      </c>
      <c r="AD87" s="69">
        <v>13.9249199507812</v>
      </c>
      <c r="AE87" s="69">
        <v>75.573017718559299</v>
      </c>
      <c r="AF87" s="68" t="str">
        <f t="shared" si="8"/>
        <v>http://maps.google.com/maps?q=loc:13.9249199507812,75.5730177185593</v>
      </c>
    </row>
    <row r="88" spans="1:32">
      <c r="A88" s="41" t="s">
        <v>180</v>
      </c>
      <c r="B88" s="11" t="s">
        <v>171</v>
      </c>
      <c r="C88" s="11">
        <v>87</v>
      </c>
      <c r="D88" s="88" t="e">
        <f>VLOOKUP(A88,[1]dtlms!$L:$N,3,0)</f>
        <v>#N/A</v>
      </c>
      <c r="E88" s="13" t="s">
        <v>175</v>
      </c>
      <c r="F88" s="37" t="s">
        <v>5</v>
      </c>
      <c r="G88" s="92" t="s">
        <v>468</v>
      </c>
      <c r="H88" s="83">
        <v>180101</v>
      </c>
      <c r="I88" s="11">
        <v>63</v>
      </c>
      <c r="J88" s="57" t="str">
        <f t="shared" si="9"/>
        <v>110/11KV MRS</v>
      </c>
      <c r="K88" s="57" t="s">
        <v>403</v>
      </c>
      <c r="L88" s="57" t="str">
        <f t="shared" si="7"/>
        <v>20030093101</v>
      </c>
      <c r="M88" s="41">
        <v>0</v>
      </c>
      <c r="N88" s="41"/>
      <c r="O88" s="41"/>
      <c r="P88" s="64"/>
      <c r="Q88" s="64"/>
      <c r="R88" s="80"/>
      <c r="S88" s="64"/>
      <c r="T88" s="41">
        <v>1</v>
      </c>
      <c r="U88" s="41">
        <v>1</v>
      </c>
      <c r="V88" s="41" t="s">
        <v>279</v>
      </c>
      <c r="W88" s="41">
        <v>20</v>
      </c>
      <c r="X88" s="82">
        <f t="shared" si="10"/>
        <v>20</v>
      </c>
      <c r="Y88" s="82">
        <v>20</v>
      </c>
      <c r="Z88" s="41" t="s">
        <v>379</v>
      </c>
      <c r="AA88" s="61" t="s">
        <v>328</v>
      </c>
      <c r="AB88" s="41"/>
      <c r="AC88" s="41" t="s">
        <v>397</v>
      </c>
      <c r="AD88" s="69">
        <v>13.9287910030543</v>
      </c>
      <c r="AE88" s="69">
        <v>75.580830544287807</v>
      </c>
      <c r="AF88" s="68" t="str">
        <f t="shared" si="8"/>
        <v>http://maps.google.com/maps?q=loc:13.9287910030543,75.5808305442878</v>
      </c>
    </row>
    <row r="89" spans="1:32">
      <c r="A89" s="41" t="s">
        <v>181</v>
      </c>
      <c r="B89" s="9" t="s">
        <v>171</v>
      </c>
      <c r="C89" s="8">
        <v>88</v>
      </c>
      <c r="D89" s="88" t="str">
        <f>VLOOKUP(A89,[1]dtlms!$L:$N,3,0)</f>
        <v>KR PURAM SCHOOL TC</v>
      </c>
      <c r="E89" s="15" t="s">
        <v>177</v>
      </c>
      <c r="F89" s="20" t="s">
        <v>239</v>
      </c>
      <c r="G89" s="92" t="s">
        <v>470</v>
      </c>
      <c r="H89" s="36">
        <v>180420</v>
      </c>
      <c r="I89" s="8">
        <v>100</v>
      </c>
      <c r="J89" s="57" t="str">
        <f t="shared" si="9"/>
        <v>110/11KV MANDLI</v>
      </c>
      <c r="K89" s="57" t="s">
        <v>404</v>
      </c>
      <c r="L89" s="57">
        <f t="shared" si="7"/>
        <v>0</v>
      </c>
      <c r="M89" s="41">
        <v>0</v>
      </c>
      <c r="N89" s="41" t="s">
        <v>454</v>
      </c>
      <c r="O89" s="41"/>
      <c r="P89" s="64"/>
      <c r="Q89" s="64"/>
      <c r="R89" s="80"/>
      <c r="S89" s="64"/>
      <c r="T89" s="41" t="s">
        <v>284</v>
      </c>
      <c r="U89" s="41" t="s">
        <v>284</v>
      </c>
      <c r="V89" s="41" t="s">
        <v>284</v>
      </c>
      <c r="W89" s="41" t="s">
        <v>284</v>
      </c>
      <c r="X89" s="82" t="s">
        <v>284</v>
      </c>
      <c r="Y89" s="82" t="s">
        <v>284</v>
      </c>
      <c r="Z89" s="41" t="s">
        <v>369</v>
      </c>
      <c r="AA89" s="61" t="s">
        <v>352</v>
      </c>
      <c r="AB89" s="41"/>
      <c r="AC89" s="41" t="s">
        <v>399</v>
      </c>
      <c r="AD89" s="69">
        <v>13.926060145752899</v>
      </c>
      <c r="AE89" s="69">
        <v>75.572385838255698</v>
      </c>
      <c r="AF89" s="68" t="str">
        <f t="shared" si="8"/>
        <v>http://maps.google.com/maps?q=loc:13.9260601457529,75.5723858382557</v>
      </c>
    </row>
    <row r="90" spans="1:32">
      <c r="A90" s="41" t="s">
        <v>182</v>
      </c>
      <c r="B90" s="8" t="s">
        <v>171</v>
      </c>
      <c r="C90" s="8">
        <v>89</v>
      </c>
      <c r="D90" s="88" t="str">
        <f>VLOOKUP(A90,[1]dtlms!$L:$N,3,0)</f>
        <v>CHAPPALI ANGADI ROAD TC</v>
      </c>
      <c r="E90" s="15" t="s">
        <v>176</v>
      </c>
      <c r="F90" s="20" t="s">
        <v>239</v>
      </c>
      <c r="G90" s="92" t="s">
        <v>470</v>
      </c>
      <c r="H90" s="36">
        <v>180420</v>
      </c>
      <c r="I90" s="8">
        <v>100</v>
      </c>
      <c r="J90" s="57" t="str">
        <f t="shared" si="9"/>
        <v>110/11KV MANDLI</v>
      </c>
      <c r="K90" s="57" t="s">
        <v>404</v>
      </c>
      <c r="L90" s="57">
        <f t="shared" si="7"/>
        <v>0</v>
      </c>
      <c r="M90" s="41">
        <v>0</v>
      </c>
      <c r="N90" s="41" t="s">
        <v>454</v>
      </c>
      <c r="O90" s="41"/>
      <c r="P90" s="64"/>
      <c r="Q90" s="64"/>
      <c r="R90" s="80"/>
      <c r="S90" s="64"/>
      <c r="T90" s="41" t="s">
        <v>284</v>
      </c>
      <c r="U90" s="41" t="s">
        <v>284</v>
      </c>
      <c r="V90" s="41" t="s">
        <v>284</v>
      </c>
      <c r="W90" s="41" t="s">
        <v>284</v>
      </c>
      <c r="X90" s="82" t="s">
        <v>284</v>
      </c>
      <c r="Y90" s="82" t="s">
        <v>284</v>
      </c>
      <c r="Z90" s="41" t="s">
        <v>369</v>
      </c>
      <c r="AA90" s="61" t="s">
        <v>353</v>
      </c>
      <c r="AB90" s="41"/>
      <c r="AC90" s="41" t="s">
        <v>399</v>
      </c>
      <c r="AD90" s="69">
        <v>13.9282927298418</v>
      </c>
      <c r="AE90" s="69">
        <v>75.575004098670803</v>
      </c>
      <c r="AF90" s="68" t="str">
        <f t="shared" si="8"/>
        <v>http://maps.google.com/maps?q=loc:13.9282927298418,75.5750040986708</v>
      </c>
    </row>
    <row r="91" spans="1:32">
      <c r="A91" s="41" t="s">
        <v>183</v>
      </c>
      <c r="B91" s="9" t="s">
        <v>171</v>
      </c>
      <c r="C91" s="8">
        <v>90</v>
      </c>
      <c r="D91" s="88" t="str">
        <f>VLOOKUP(A91,[1]dtlms!$L:$N,3,0)</f>
        <v>VINAYAKA RASTE TC</v>
      </c>
      <c r="E91" s="15" t="s">
        <v>178</v>
      </c>
      <c r="F91" s="20" t="s">
        <v>5</v>
      </c>
      <c r="G91" s="92" t="s">
        <v>468</v>
      </c>
      <c r="H91" s="36">
        <v>180101</v>
      </c>
      <c r="I91" s="8">
        <v>100</v>
      </c>
      <c r="J91" s="57" t="str">
        <f t="shared" si="9"/>
        <v>110/11KV MRS</v>
      </c>
      <c r="K91" s="57" t="s">
        <v>404</v>
      </c>
      <c r="L91" s="57" t="str">
        <f t="shared" si="7"/>
        <v>20030093101</v>
      </c>
      <c r="M91" s="41">
        <v>0</v>
      </c>
      <c r="N91" s="41"/>
      <c r="O91" s="41"/>
      <c r="P91" s="64"/>
      <c r="Q91" s="64"/>
      <c r="R91" s="80"/>
      <c r="S91" s="64"/>
      <c r="T91" s="41" t="s">
        <v>284</v>
      </c>
      <c r="U91" s="41" t="s">
        <v>284</v>
      </c>
      <c r="V91" s="41" t="s">
        <v>284</v>
      </c>
      <c r="W91" s="41" t="s">
        <v>284</v>
      </c>
      <c r="X91" s="82" t="s">
        <v>284</v>
      </c>
      <c r="Y91" s="82" t="s">
        <v>284</v>
      </c>
      <c r="Z91" s="41" t="s">
        <v>369</v>
      </c>
      <c r="AA91" s="61" t="s">
        <v>354</v>
      </c>
      <c r="AB91" s="41"/>
      <c r="AC91" s="41" t="s">
        <v>399</v>
      </c>
      <c r="AD91" s="69">
        <v>13.9259925453214</v>
      </c>
      <c r="AE91" s="69">
        <v>75.579519819009604</v>
      </c>
      <c r="AF91" s="68" t="str">
        <f t="shared" si="8"/>
        <v>http://maps.google.com/maps?q=loc:13.9259925453214,75.5795198190096</v>
      </c>
    </row>
    <row r="92" spans="1:32" ht="30" customHeight="1">
      <c r="A92" s="41" t="s">
        <v>221</v>
      </c>
      <c r="B92" s="11" t="s">
        <v>171</v>
      </c>
      <c r="C92" s="11">
        <v>91</v>
      </c>
      <c r="D92" s="88" t="str">
        <f>VLOOKUP(A92,[1]dtlms!$L:$N,3,0)</f>
        <v>OBL ROAD MRN NAIDU APARTMENT</v>
      </c>
      <c r="E92" s="21" t="s">
        <v>216</v>
      </c>
      <c r="F92" s="37" t="s">
        <v>5</v>
      </c>
      <c r="G92" s="92" t="s">
        <v>468</v>
      </c>
      <c r="H92" s="83">
        <v>180101</v>
      </c>
      <c r="I92" s="11">
        <v>250</v>
      </c>
      <c r="J92" s="57" t="str">
        <f t="shared" si="9"/>
        <v>110/11KV MRS</v>
      </c>
      <c r="K92" s="57" t="s">
        <v>403</v>
      </c>
      <c r="L92" s="57" t="str">
        <f t="shared" si="7"/>
        <v>20030093101</v>
      </c>
      <c r="M92" s="41">
        <v>0</v>
      </c>
      <c r="N92" s="41"/>
      <c r="O92" s="41"/>
      <c r="P92" s="64"/>
      <c r="Q92" s="64"/>
      <c r="R92" s="80"/>
      <c r="S92" s="64"/>
      <c r="T92" s="41">
        <v>1</v>
      </c>
      <c r="U92" s="41">
        <v>1</v>
      </c>
      <c r="V92" s="41" t="s">
        <v>278</v>
      </c>
      <c r="W92" s="41">
        <v>80</v>
      </c>
      <c r="X92" s="82">
        <f t="shared" si="10"/>
        <v>80</v>
      </c>
      <c r="Y92" s="82">
        <v>80</v>
      </c>
      <c r="Z92" s="41" t="s">
        <v>406</v>
      </c>
      <c r="AA92" s="61" t="s">
        <v>355</v>
      </c>
      <c r="AB92" s="41"/>
      <c r="AC92" s="41" t="s">
        <v>399</v>
      </c>
      <c r="AD92" s="69">
        <v>13.931458641777301</v>
      </c>
      <c r="AE92" s="69">
        <v>75.586200803687404</v>
      </c>
      <c r="AF92" s="68" t="str">
        <f t="shared" si="8"/>
        <v>http://maps.google.com/maps?q=loc:13.9314586417773,75.5862008036874</v>
      </c>
    </row>
    <row r="93" spans="1:32" ht="30" customHeight="1">
      <c r="A93" s="41" t="s">
        <v>222</v>
      </c>
      <c r="B93" s="12" t="s">
        <v>171</v>
      </c>
      <c r="C93" s="11">
        <v>92</v>
      </c>
      <c r="D93" s="88" t="str">
        <f>VLOOKUP(A93,[1]dtlms!$L:$N,3,0)</f>
        <v>TULUJA BHAVANI CROSS SIYAL COMPLEX</v>
      </c>
      <c r="E93" s="21" t="s">
        <v>217</v>
      </c>
      <c r="F93" s="37" t="s">
        <v>5</v>
      </c>
      <c r="G93" s="92" t="s">
        <v>468</v>
      </c>
      <c r="H93" s="83">
        <v>180101</v>
      </c>
      <c r="I93" s="11">
        <v>100</v>
      </c>
      <c r="J93" s="57" t="str">
        <f t="shared" si="9"/>
        <v>110/11KV MRS</v>
      </c>
      <c r="K93" s="57" t="s">
        <v>403</v>
      </c>
      <c r="L93" s="57" t="str">
        <f t="shared" si="7"/>
        <v>20030093101</v>
      </c>
      <c r="M93" s="41">
        <v>0</v>
      </c>
      <c r="N93" s="41"/>
      <c r="O93" s="41"/>
      <c r="P93" s="64"/>
      <c r="Q93" s="64"/>
      <c r="R93" s="80"/>
      <c r="S93" s="64"/>
      <c r="T93" s="41">
        <v>1</v>
      </c>
      <c r="U93" s="41">
        <v>1</v>
      </c>
      <c r="V93" s="41" t="s">
        <v>279</v>
      </c>
      <c r="W93" s="41">
        <v>20</v>
      </c>
      <c r="X93" s="82">
        <f t="shared" si="10"/>
        <v>20</v>
      </c>
      <c r="Y93" s="82">
        <v>20</v>
      </c>
      <c r="Z93" s="64" t="e">
        <v>#N/A</v>
      </c>
      <c r="AA93" s="64" t="e">
        <v>#N/A</v>
      </c>
      <c r="AB93" s="41"/>
      <c r="AC93" s="41" t="s">
        <v>399</v>
      </c>
      <c r="AD93" s="69">
        <v>13.9253502025656</v>
      </c>
      <c r="AE93" s="69">
        <v>75.577142686552904</v>
      </c>
      <c r="AF93" s="68" t="str">
        <f t="shared" si="8"/>
        <v>http://maps.google.com/maps?q=loc:13.9253502025656,75.5771426865529</v>
      </c>
    </row>
    <row r="94" spans="1:32">
      <c r="A94" s="41" t="s">
        <v>223</v>
      </c>
      <c r="B94" s="8" t="s">
        <v>171</v>
      </c>
      <c r="C94" s="8">
        <v>93</v>
      </c>
      <c r="D94" s="88" t="str">
        <f>VLOOKUP(A94,[1]dtlms!$L:$N,3,0)</f>
        <v>TRF_RAMANNASHETTY PARK</v>
      </c>
      <c r="E94" s="15" t="s">
        <v>240</v>
      </c>
      <c r="F94" s="36" t="s">
        <v>241</v>
      </c>
      <c r="G94" s="91" t="s">
        <v>469</v>
      </c>
      <c r="H94" s="36">
        <v>180413</v>
      </c>
      <c r="I94" s="8">
        <v>63</v>
      </c>
      <c r="J94" s="57" t="str">
        <f t="shared" si="9"/>
        <v>110/11KV MANDLI</v>
      </c>
      <c r="K94" s="57" t="s">
        <v>476</v>
      </c>
      <c r="L94" s="57" t="str">
        <f t="shared" si="7"/>
        <v>20030093118</v>
      </c>
      <c r="M94" s="41">
        <v>0</v>
      </c>
      <c r="N94" s="41"/>
      <c r="O94" s="41"/>
      <c r="P94" s="64"/>
      <c r="Q94" s="64"/>
      <c r="R94" s="80"/>
      <c r="S94" s="64"/>
      <c r="T94" s="41">
        <v>1</v>
      </c>
      <c r="U94" s="41">
        <v>1</v>
      </c>
      <c r="V94" s="41" t="s">
        <v>279</v>
      </c>
      <c r="W94" s="41">
        <v>20</v>
      </c>
      <c r="X94" s="82">
        <f t="shared" si="10"/>
        <v>20</v>
      </c>
      <c r="Y94" s="82">
        <v>20</v>
      </c>
      <c r="Z94" s="41" t="s">
        <v>394</v>
      </c>
      <c r="AA94" s="61" t="s">
        <v>356</v>
      </c>
      <c r="AB94" s="41"/>
      <c r="AC94" s="41" t="s">
        <v>399</v>
      </c>
      <c r="AD94" s="69">
        <v>13.9236308854311</v>
      </c>
      <c r="AE94" s="69">
        <v>75.578327767955699</v>
      </c>
      <c r="AF94" s="68" t="str">
        <f t="shared" si="8"/>
        <v>http://maps.google.com/maps?q=loc:13.9236308854311,75.5783277679557</v>
      </c>
    </row>
    <row r="95" spans="1:32">
      <c r="A95" s="41" t="s">
        <v>224</v>
      </c>
      <c r="B95" s="9" t="s">
        <v>171</v>
      </c>
      <c r="C95" s="8">
        <v>94</v>
      </c>
      <c r="D95" s="88" t="str">
        <f>VLOOKUP(A95,[1]dtlms!$L:$N,3,0)</f>
        <v>TRF_OLD TALUK OFFICE</v>
      </c>
      <c r="E95" s="14" t="s">
        <v>237</v>
      </c>
      <c r="F95" s="20" t="s">
        <v>5</v>
      </c>
      <c r="G95" s="92" t="s">
        <v>468</v>
      </c>
      <c r="H95" s="36">
        <v>180101</v>
      </c>
      <c r="I95" s="8">
        <v>63</v>
      </c>
      <c r="J95" s="57" t="str">
        <f t="shared" si="9"/>
        <v>110/11KV MRS</v>
      </c>
      <c r="K95" s="57" t="s">
        <v>476</v>
      </c>
      <c r="L95" s="57" t="str">
        <f t="shared" si="7"/>
        <v>20030093101</v>
      </c>
      <c r="M95" s="41">
        <v>0</v>
      </c>
      <c r="N95" s="41"/>
      <c r="O95" s="41"/>
      <c r="P95" s="64"/>
      <c r="Q95" s="64"/>
      <c r="R95" s="80"/>
      <c r="S95" s="64"/>
      <c r="T95" s="41">
        <v>1</v>
      </c>
      <c r="U95" s="41">
        <v>1</v>
      </c>
      <c r="V95" s="41" t="s">
        <v>280</v>
      </c>
      <c r="W95" s="41">
        <v>30</v>
      </c>
      <c r="X95" s="82">
        <f t="shared" si="10"/>
        <v>30</v>
      </c>
      <c r="Y95" s="82">
        <v>30</v>
      </c>
      <c r="Z95" s="41" t="s">
        <v>394</v>
      </c>
      <c r="AA95" s="61" t="s">
        <v>357</v>
      </c>
      <c r="AB95" s="41"/>
      <c r="AC95" s="41" t="s">
        <v>399</v>
      </c>
      <c r="AD95" s="69">
        <v>13.9263698693946</v>
      </c>
      <c r="AE95" s="69">
        <v>75.581888500752498</v>
      </c>
      <c r="AF95" s="68" t="str">
        <f t="shared" si="8"/>
        <v>http://maps.google.com/maps?q=loc:13.9263698693946,75.5818885007525</v>
      </c>
    </row>
    <row r="96" spans="1:32" ht="39" customHeight="1">
      <c r="A96" s="41" t="s">
        <v>225</v>
      </c>
      <c r="B96" s="8" t="s">
        <v>171</v>
      </c>
      <c r="C96" s="8">
        <v>95</v>
      </c>
      <c r="D96" s="88" t="str">
        <f>VLOOKUP(A96,[1]dtlms!$L:$N,3,0)</f>
        <v>TRF_KOTE WETWELL BACKSIDE</v>
      </c>
      <c r="E96" s="18" t="s">
        <v>238</v>
      </c>
      <c r="F96" s="20" t="s">
        <v>5</v>
      </c>
      <c r="G96" s="92" t="s">
        <v>468</v>
      </c>
      <c r="H96" s="36">
        <v>180101</v>
      </c>
      <c r="I96" s="8">
        <v>63</v>
      </c>
      <c r="J96" s="57" t="str">
        <f t="shared" si="9"/>
        <v>110/11KV MRS</v>
      </c>
      <c r="K96" s="57" t="s">
        <v>476</v>
      </c>
      <c r="L96" s="57" t="str">
        <f t="shared" si="7"/>
        <v>20030093101</v>
      </c>
      <c r="M96" s="41">
        <v>0</v>
      </c>
      <c r="N96" s="41"/>
      <c r="O96" s="41"/>
      <c r="P96" s="64"/>
      <c r="Q96" s="64"/>
      <c r="R96" s="80"/>
      <c r="S96" s="64"/>
      <c r="T96" s="41">
        <v>1</v>
      </c>
      <c r="U96" s="41">
        <v>1</v>
      </c>
      <c r="V96" s="41" t="s">
        <v>279</v>
      </c>
      <c r="W96" s="41">
        <v>20</v>
      </c>
      <c r="X96" s="82">
        <f t="shared" si="10"/>
        <v>20</v>
      </c>
      <c r="Y96" s="82">
        <v>20</v>
      </c>
      <c r="Z96" s="41" t="s">
        <v>394</v>
      </c>
      <c r="AA96" s="63" t="s">
        <v>364</v>
      </c>
      <c r="AB96" s="41"/>
      <c r="AC96" s="41" t="s">
        <v>399</v>
      </c>
      <c r="AD96" s="69">
        <v>13.930645056682399</v>
      </c>
      <c r="AE96" s="69">
        <v>75.587010496821804</v>
      </c>
      <c r="AF96" s="68" t="str">
        <f t="shared" si="8"/>
        <v>http://maps.google.com/maps?q=loc:13.9306450566824,75.5870104968218</v>
      </c>
    </row>
    <row r="97" spans="1:32">
      <c r="A97" s="41" t="s">
        <v>226</v>
      </c>
      <c r="B97" s="8" t="s">
        <v>171</v>
      </c>
      <c r="C97" s="8">
        <v>96</v>
      </c>
      <c r="D97" s="88" t="str">
        <f>VLOOKUP(A97,[1]dtlms!$L:$N,3,0)</f>
        <v>PALLAVI HOTEL</v>
      </c>
      <c r="E97" s="14" t="s">
        <v>218</v>
      </c>
      <c r="F97" s="36" t="s">
        <v>242</v>
      </c>
      <c r="G97" s="91" t="s">
        <v>471</v>
      </c>
      <c r="H97" s="36">
        <v>180403</v>
      </c>
      <c r="I97" s="8">
        <v>100</v>
      </c>
      <c r="J97" s="57" t="str">
        <f t="shared" si="9"/>
        <v>110/11KV MANDLI</v>
      </c>
      <c r="K97" s="57" t="s">
        <v>404</v>
      </c>
      <c r="L97" s="57" t="str">
        <f t="shared" si="7"/>
        <v>20030093123</v>
      </c>
      <c r="M97" s="41">
        <v>0</v>
      </c>
      <c r="N97" s="41" t="s">
        <v>454</v>
      </c>
      <c r="O97" s="41"/>
      <c r="P97" s="64"/>
      <c r="Q97" s="64"/>
      <c r="R97" s="80"/>
      <c r="S97" s="64"/>
      <c r="T97" s="41" t="s">
        <v>284</v>
      </c>
      <c r="U97" s="41" t="s">
        <v>284</v>
      </c>
      <c r="V97" s="41" t="s">
        <v>284</v>
      </c>
      <c r="W97" s="41" t="s">
        <v>284</v>
      </c>
      <c r="X97" s="82" t="s">
        <v>284</v>
      </c>
      <c r="Y97" s="82" t="s">
        <v>284</v>
      </c>
      <c r="Z97" s="41" t="s">
        <v>369</v>
      </c>
      <c r="AA97" s="61" t="s">
        <v>358</v>
      </c>
      <c r="AB97" s="41"/>
      <c r="AC97" s="41" t="s">
        <v>399</v>
      </c>
      <c r="AD97" s="69">
        <v>13.928905305154901</v>
      </c>
      <c r="AE97" s="69">
        <v>75.574055747215397</v>
      </c>
      <c r="AF97" s="68" t="str">
        <f t="shared" si="8"/>
        <v>http://maps.google.com/maps?q=loc:13.9289053051549,75.5740557472154</v>
      </c>
    </row>
    <row r="98" spans="1:32" ht="39.75" customHeight="1">
      <c r="A98" s="41" t="s">
        <v>227</v>
      </c>
      <c r="B98" s="11" t="s">
        <v>171</v>
      </c>
      <c r="C98" s="11">
        <v>97</v>
      </c>
      <c r="D98" s="88" t="str">
        <f>VLOOKUP(A98,[1]dtlms!$L:$N,3,0)</f>
        <v>KASARAVALLI TOWER MAHARAJA ROAD</v>
      </c>
      <c r="E98" s="21" t="s">
        <v>219</v>
      </c>
      <c r="F98" s="37" t="s">
        <v>5</v>
      </c>
      <c r="G98" s="92" t="s">
        <v>468</v>
      </c>
      <c r="H98" s="83">
        <v>180101</v>
      </c>
      <c r="I98" s="11">
        <v>100</v>
      </c>
      <c r="J98" s="57" t="str">
        <f t="shared" si="9"/>
        <v>110/11KV MRS</v>
      </c>
      <c r="K98" s="57" t="s">
        <v>403</v>
      </c>
      <c r="L98" s="57" t="str">
        <f t="shared" ref="L98:L107" si="11">VLOOKUP(F98,$AH$1:$AI$14,2,0)</f>
        <v>20030093101</v>
      </c>
      <c r="M98" s="41">
        <v>0</v>
      </c>
      <c r="N98" s="41"/>
      <c r="O98" s="41"/>
      <c r="P98" s="64"/>
      <c r="Q98" s="64"/>
      <c r="R98" s="80"/>
      <c r="S98" s="64"/>
      <c r="T98" s="41">
        <v>1</v>
      </c>
      <c r="U98" s="41">
        <v>1</v>
      </c>
      <c r="V98" s="41" t="s">
        <v>280</v>
      </c>
      <c r="W98" s="41">
        <v>30</v>
      </c>
      <c r="X98" s="82">
        <f t="shared" si="10"/>
        <v>30</v>
      </c>
      <c r="Y98" s="82">
        <v>30</v>
      </c>
      <c r="Z98" s="41" t="s">
        <v>406</v>
      </c>
      <c r="AA98" s="61" t="s">
        <v>359</v>
      </c>
      <c r="AB98" s="41"/>
      <c r="AC98" s="41" t="s">
        <v>399</v>
      </c>
      <c r="AD98" s="69">
        <v>13.9307109024576</v>
      </c>
      <c r="AE98" s="69">
        <v>75.580390918048494</v>
      </c>
      <c r="AF98" s="68" t="str">
        <f t="shared" ref="AF98:AF115" si="12">HYPERLINK("http://maps.google.com/maps?q=loc:"&amp;AD98&amp;","&amp;AE98)</f>
        <v>http://maps.google.com/maps?q=loc:13.9307109024576,75.5803909180485</v>
      </c>
    </row>
    <row r="99" spans="1:32" ht="22.5">
      <c r="A99" s="41" t="s">
        <v>228</v>
      </c>
      <c r="B99" s="12" t="s">
        <v>171</v>
      </c>
      <c r="C99" s="11">
        <v>98</v>
      </c>
      <c r="D99" s="88" t="str">
        <f>VLOOKUP(A99,[1]dtlms!$L:$N,3,0)</f>
        <v>PRAVEENKUMAR MARIKAMBA TEMPLE BACKSIDE</v>
      </c>
      <c r="E99" s="21" t="s">
        <v>220</v>
      </c>
      <c r="F99" s="37" t="s">
        <v>5</v>
      </c>
      <c r="G99" s="92" t="s">
        <v>468</v>
      </c>
      <c r="H99" s="83">
        <v>180101</v>
      </c>
      <c r="I99" s="11">
        <v>63</v>
      </c>
      <c r="J99" s="57" t="str">
        <f t="shared" si="9"/>
        <v>110/11KV MRS</v>
      </c>
      <c r="K99" s="57" t="s">
        <v>403</v>
      </c>
      <c r="L99" s="57" t="str">
        <f t="shared" si="11"/>
        <v>20030093101</v>
      </c>
      <c r="M99" s="41">
        <v>0</v>
      </c>
      <c r="N99" s="41"/>
      <c r="O99" s="41"/>
      <c r="P99" s="64"/>
      <c r="Q99" s="64"/>
      <c r="R99" s="80"/>
      <c r="S99" s="64"/>
      <c r="T99" s="41">
        <v>1</v>
      </c>
      <c r="U99" s="41">
        <v>1</v>
      </c>
      <c r="V99" s="41" t="s">
        <v>279</v>
      </c>
      <c r="W99" s="41">
        <v>20</v>
      </c>
      <c r="X99" s="82">
        <f t="shared" si="10"/>
        <v>20</v>
      </c>
      <c r="Y99" s="82">
        <v>20</v>
      </c>
      <c r="Z99" s="41" t="s">
        <v>385</v>
      </c>
      <c r="AA99" s="61" t="s">
        <v>360</v>
      </c>
      <c r="AB99" s="41"/>
      <c r="AC99" s="41" t="s">
        <v>399</v>
      </c>
      <c r="AD99" s="69">
        <v>13.9270202231396</v>
      </c>
      <c r="AE99" s="69">
        <v>75.5815491142979</v>
      </c>
      <c r="AF99" s="68" t="str">
        <f t="shared" si="12"/>
        <v>http://maps.google.com/maps?q=loc:13.9270202231396,75.5815491142979</v>
      </c>
    </row>
    <row r="100" spans="1:32">
      <c r="A100" s="41" t="s">
        <v>231</v>
      </c>
      <c r="B100" s="8" t="s">
        <v>171</v>
      </c>
      <c r="C100" s="8">
        <v>99</v>
      </c>
      <c r="D100" s="88" t="e">
        <f>VLOOKUP(A100,[1]dtlms!$L:$N,3,0)</f>
        <v>#N/A</v>
      </c>
      <c r="E100" s="20" t="s">
        <v>234</v>
      </c>
      <c r="F100" s="20" t="s">
        <v>5</v>
      </c>
      <c r="G100" s="92" t="s">
        <v>468</v>
      </c>
      <c r="H100" s="36">
        <v>180101</v>
      </c>
      <c r="I100" s="8">
        <v>100</v>
      </c>
      <c r="J100" s="57" t="str">
        <f t="shared" si="9"/>
        <v>110/11KV MRS</v>
      </c>
      <c r="K100" s="57" t="s">
        <v>404</v>
      </c>
      <c r="L100" s="57" t="str">
        <f t="shared" si="11"/>
        <v>20030093101</v>
      </c>
      <c r="M100" s="41">
        <v>0</v>
      </c>
      <c r="N100" s="41"/>
      <c r="O100" s="41"/>
      <c r="P100" s="64"/>
      <c r="Q100" s="64"/>
      <c r="R100" s="80"/>
      <c r="S100" s="64"/>
      <c r="T100" s="41" t="s">
        <v>284</v>
      </c>
      <c r="U100" s="41" t="s">
        <v>284</v>
      </c>
      <c r="V100" s="41" t="s">
        <v>284</v>
      </c>
      <c r="W100" s="41" t="s">
        <v>284</v>
      </c>
      <c r="X100" s="82" t="s">
        <v>284</v>
      </c>
      <c r="Y100" s="82" t="s">
        <v>284</v>
      </c>
      <c r="Z100" s="41" t="s">
        <v>395</v>
      </c>
      <c r="AA100" s="61" t="s">
        <v>362</v>
      </c>
      <c r="AB100" s="41"/>
      <c r="AC100" s="41" t="s">
        <v>399</v>
      </c>
      <c r="AD100" s="69">
        <v>13.929246638862899</v>
      </c>
      <c r="AE100" s="69">
        <v>75.578013200536901</v>
      </c>
      <c r="AF100" s="68" t="str">
        <f t="shared" si="12"/>
        <v>http://maps.google.com/maps?q=loc:13.9292466388629,75.5780132005369</v>
      </c>
    </row>
    <row r="101" spans="1:32">
      <c r="A101" s="41" t="s">
        <v>232</v>
      </c>
      <c r="B101" s="9" t="s">
        <v>171</v>
      </c>
      <c r="C101" s="8">
        <v>100</v>
      </c>
      <c r="D101" s="88" t="str">
        <f>VLOOKUP(A101,[1]dtlms!$L:$N,3,0)</f>
        <v>Antharaghtamma Temple TC</v>
      </c>
      <c r="E101" s="20" t="s">
        <v>235</v>
      </c>
      <c r="F101" s="20" t="s">
        <v>5</v>
      </c>
      <c r="G101" s="92" t="s">
        <v>468</v>
      </c>
      <c r="H101" s="36">
        <v>180101</v>
      </c>
      <c r="I101" s="8">
        <v>100</v>
      </c>
      <c r="J101" s="57" t="str">
        <f t="shared" si="9"/>
        <v>110/11KV MRS</v>
      </c>
      <c r="K101" s="57" t="s">
        <v>404</v>
      </c>
      <c r="L101" s="57" t="str">
        <f t="shared" si="11"/>
        <v>20030093101</v>
      </c>
      <c r="M101" s="41">
        <v>0</v>
      </c>
      <c r="N101" s="41"/>
      <c r="O101" s="41"/>
      <c r="P101" s="64"/>
      <c r="Q101" s="64"/>
      <c r="R101" s="80"/>
      <c r="S101" s="64"/>
      <c r="T101" s="41" t="s">
        <v>284</v>
      </c>
      <c r="U101" s="41" t="s">
        <v>284</v>
      </c>
      <c r="V101" s="41" t="s">
        <v>284</v>
      </c>
      <c r="W101" s="41" t="s">
        <v>284</v>
      </c>
      <c r="X101" s="82" t="s">
        <v>284</v>
      </c>
      <c r="Y101" s="82" t="s">
        <v>284</v>
      </c>
      <c r="Z101" s="41" t="s">
        <v>395</v>
      </c>
      <c r="AA101" s="61" t="s">
        <v>361</v>
      </c>
      <c r="AB101" s="41"/>
      <c r="AC101" s="41" t="s">
        <v>399</v>
      </c>
      <c r="AD101" s="69">
        <v>13.925149829613799</v>
      </c>
      <c r="AE101" s="69">
        <v>75.577978926534797</v>
      </c>
      <c r="AF101" s="68" t="str">
        <f t="shared" si="12"/>
        <v>http://maps.google.com/maps?q=loc:13.9251498296138,75.5779789265348</v>
      </c>
    </row>
    <row r="102" spans="1:32">
      <c r="A102" s="41" t="s">
        <v>233</v>
      </c>
      <c r="B102" s="8" t="s">
        <v>171</v>
      </c>
      <c r="C102" s="8">
        <v>101</v>
      </c>
      <c r="D102" s="88" t="str">
        <f>VLOOKUP(A102,[1]dtlms!$L:$N,3,0)</f>
        <v>Fish Market TC</v>
      </c>
      <c r="E102" s="20" t="s">
        <v>236</v>
      </c>
      <c r="F102" s="20" t="s">
        <v>5</v>
      </c>
      <c r="G102" s="92" t="s">
        <v>468</v>
      </c>
      <c r="H102" s="36">
        <v>180101</v>
      </c>
      <c r="I102" s="8">
        <v>100</v>
      </c>
      <c r="J102" s="57" t="str">
        <f t="shared" si="9"/>
        <v>110/11KV MRS</v>
      </c>
      <c r="K102" s="57" t="s">
        <v>404</v>
      </c>
      <c r="L102" s="57" t="str">
        <f t="shared" si="11"/>
        <v>20030093101</v>
      </c>
      <c r="M102" s="41">
        <v>0</v>
      </c>
      <c r="N102" s="41"/>
      <c r="O102" s="41"/>
      <c r="P102" s="64"/>
      <c r="Q102" s="64"/>
      <c r="R102" s="80"/>
      <c r="S102" s="64"/>
      <c r="T102" s="41" t="s">
        <v>284</v>
      </c>
      <c r="U102" s="41" t="s">
        <v>284</v>
      </c>
      <c r="V102" s="41" t="s">
        <v>284</v>
      </c>
      <c r="W102" s="41" t="s">
        <v>284</v>
      </c>
      <c r="X102" s="82" t="s">
        <v>284</v>
      </c>
      <c r="Y102" s="82" t="s">
        <v>284</v>
      </c>
      <c r="Z102" s="41" t="s">
        <v>395</v>
      </c>
      <c r="AA102" s="61" t="s">
        <v>363</v>
      </c>
      <c r="AB102" s="41"/>
      <c r="AC102" s="41" t="s">
        <v>399</v>
      </c>
      <c r="AD102" s="69">
        <v>13.928547924421499</v>
      </c>
      <c r="AE102" s="69">
        <v>75.578633978066193</v>
      </c>
      <c r="AF102" s="68" t="str">
        <f t="shared" si="12"/>
        <v>http://maps.google.com/maps?q=loc:13.9285479244215,75.5786339780662</v>
      </c>
    </row>
    <row r="103" spans="1:32" ht="25.5">
      <c r="A103" s="41" t="s">
        <v>273</v>
      </c>
      <c r="B103" s="11" t="s">
        <v>171</v>
      </c>
      <c r="C103" s="11">
        <v>102</v>
      </c>
      <c r="D103" s="88" t="e">
        <f>VLOOKUP(A103,[1]dtlms!$L:$N,3,0)</f>
        <v>#N/A</v>
      </c>
      <c r="E103" s="17" t="s">
        <v>274</v>
      </c>
      <c r="F103" s="11" t="s">
        <v>5</v>
      </c>
      <c r="G103" s="88" t="s">
        <v>468</v>
      </c>
      <c r="H103" s="83">
        <v>180101</v>
      </c>
      <c r="I103" s="11">
        <v>63</v>
      </c>
      <c r="J103" s="57" t="str">
        <f t="shared" si="9"/>
        <v>110/11KV MRS</v>
      </c>
      <c r="K103" s="57" t="s">
        <v>403</v>
      </c>
      <c r="L103" s="57" t="str">
        <f t="shared" si="11"/>
        <v>20030093101</v>
      </c>
      <c r="M103" s="41">
        <v>0</v>
      </c>
      <c r="N103" s="41"/>
      <c r="O103" s="41"/>
      <c r="P103" s="64"/>
      <c r="Q103" s="64"/>
      <c r="R103" s="80"/>
      <c r="S103" s="64"/>
      <c r="T103" s="41">
        <v>1</v>
      </c>
      <c r="U103" s="41">
        <v>1</v>
      </c>
      <c r="V103" s="41" t="s">
        <v>279</v>
      </c>
      <c r="W103" s="41">
        <v>20</v>
      </c>
      <c r="X103" s="82">
        <f t="shared" si="10"/>
        <v>20</v>
      </c>
      <c r="Y103" s="82">
        <v>20</v>
      </c>
      <c r="Z103" s="41" t="s">
        <v>406</v>
      </c>
      <c r="AA103" s="61" t="s">
        <v>462</v>
      </c>
      <c r="AB103" s="66" t="s">
        <v>461</v>
      </c>
      <c r="AC103" s="41" t="s">
        <v>399</v>
      </c>
      <c r="AD103" s="69">
        <v>13.928684711592799</v>
      </c>
      <c r="AE103" s="69">
        <v>75.582727452631204</v>
      </c>
      <c r="AF103" s="68" t="str">
        <f t="shared" si="12"/>
        <v>http://maps.google.com/maps?q=loc:13.9286847115928,75.5827274526312</v>
      </c>
    </row>
    <row r="104" spans="1:32" ht="25.5">
      <c r="A104" s="41" t="s">
        <v>456</v>
      </c>
      <c r="B104" s="11" t="s">
        <v>171</v>
      </c>
      <c r="C104" s="11">
        <v>103</v>
      </c>
      <c r="D104" s="88" t="e">
        <f>VLOOKUP(A104,[1]dtlms!$L:$N,3,0)</f>
        <v>#N/A</v>
      </c>
      <c r="E104" s="17" t="s">
        <v>457</v>
      </c>
      <c r="F104" s="38" t="s">
        <v>241</v>
      </c>
      <c r="G104" s="91" t="s">
        <v>469</v>
      </c>
      <c r="H104" s="83">
        <v>180413</v>
      </c>
      <c r="I104" s="11">
        <v>63</v>
      </c>
      <c r="J104" s="57" t="str">
        <f t="shared" ref="J104:J114" si="13">IF(F104="MRS F1","110/11KV MRS","110/11KV MANDLI")</f>
        <v>110/11KV MANDLI</v>
      </c>
      <c r="K104" s="57" t="s">
        <v>403</v>
      </c>
      <c r="L104" s="57" t="str">
        <f t="shared" si="11"/>
        <v>20030093118</v>
      </c>
      <c r="M104" s="41">
        <v>0</v>
      </c>
      <c r="N104" s="41"/>
      <c r="O104" s="41"/>
      <c r="P104" s="64" t="s">
        <v>460</v>
      </c>
      <c r="Q104" s="64">
        <v>5157588</v>
      </c>
      <c r="R104" s="80">
        <v>45047</v>
      </c>
      <c r="S104" s="64">
        <v>16000</v>
      </c>
      <c r="T104" s="41">
        <v>1</v>
      </c>
      <c r="U104" s="41">
        <v>1</v>
      </c>
      <c r="V104" s="41" t="s">
        <v>279</v>
      </c>
      <c r="W104" s="41">
        <v>20</v>
      </c>
      <c r="X104" s="82">
        <v>20</v>
      </c>
      <c r="Y104" s="82">
        <v>20</v>
      </c>
      <c r="Z104" s="41" t="s">
        <v>458</v>
      </c>
      <c r="AA104" s="65" t="s">
        <v>459</v>
      </c>
      <c r="AB104" s="66" t="s">
        <v>461</v>
      </c>
      <c r="AC104" s="41" t="s">
        <v>399</v>
      </c>
      <c r="AD104" s="69">
        <v>13.9244017385963</v>
      </c>
      <c r="AE104" s="69">
        <v>75.578037996098303</v>
      </c>
      <c r="AF104" s="68" t="str">
        <f t="shared" si="12"/>
        <v>http://maps.google.com/maps?q=loc:13.9244017385963,75.5780379960983</v>
      </c>
    </row>
    <row r="105" spans="1:32">
      <c r="A105" s="41" t="s">
        <v>463</v>
      </c>
      <c r="B105" s="11" t="s">
        <v>171</v>
      </c>
      <c r="C105" s="11">
        <v>104</v>
      </c>
      <c r="D105" s="88" t="e">
        <f>VLOOKUP(A105,[1]dtlms!$L:$N,3,0)</f>
        <v>#N/A</v>
      </c>
      <c r="E105" s="17" t="s">
        <v>464</v>
      </c>
      <c r="F105" s="37" t="s">
        <v>239</v>
      </c>
      <c r="G105" s="92" t="s">
        <v>470</v>
      </c>
      <c r="H105" s="83">
        <v>180420</v>
      </c>
      <c r="I105" s="11">
        <v>100</v>
      </c>
      <c r="J105" s="57" t="str">
        <f t="shared" si="13"/>
        <v>110/11KV MANDLI</v>
      </c>
      <c r="K105" s="57" t="s">
        <v>403</v>
      </c>
      <c r="L105" s="57">
        <f t="shared" si="11"/>
        <v>0</v>
      </c>
      <c r="M105" s="41">
        <v>0</v>
      </c>
      <c r="N105" s="41"/>
      <c r="O105" s="41"/>
      <c r="P105" s="64"/>
      <c r="Q105" s="64"/>
      <c r="R105" s="80"/>
      <c r="S105" s="64"/>
      <c r="T105" s="41">
        <v>1</v>
      </c>
      <c r="U105" s="41">
        <v>1</v>
      </c>
      <c r="V105" s="41" t="s">
        <v>280</v>
      </c>
      <c r="W105" s="41">
        <v>30</v>
      </c>
      <c r="X105" s="82">
        <v>30</v>
      </c>
      <c r="Y105" s="82">
        <v>30</v>
      </c>
      <c r="Z105" s="41"/>
      <c r="AA105" s="65"/>
      <c r="AB105" s="66"/>
      <c r="AC105" s="41" t="s">
        <v>399</v>
      </c>
      <c r="AD105" s="69">
        <v>13.926877619886801</v>
      </c>
      <c r="AE105" s="69">
        <v>75.575817095714797</v>
      </c>
      <c r="AF105" s="68" t="str">
        <f t="shared" si="12"/>
        <v>http://maps.google.com/maps?q=loc:13.9268776198868,75.5758170957148</v>
      </c>
    </row>
    <row r="106" spans="1:32">
      <c r="A106" s="41" t="s">
        <v>477</v>
      </c>
      <c r="B106" s="11" t="s">
        <v>171</v>
      </c>
      <c r="C106" s="11">
        <v>105</v>
      </c>
      <c r="D106" s="88"/>
      <c r="E106" s="17" t="s">
        <v>478</v>
      </c>
      <c r="F106" s="37" t="s">
        <v>5</v>
      </c>
      <c r="G106" s="88" t="s">
        <v>468</v>
      </c>
      <c r="H106" s="83">
        <v>180101</v>
      </c>
      <c r="I106" s="11">
        <v>63</v>
      </c>
      <c r="J106" s="57" t="str">
        <f t="shared" si="13"/>
        <v>110/11KV MRS</v>
      </c>
      <c r="K106" s="57" t="s">
        <v>403</v>
      </c>
      <c r="L106" s="57" t="str">
        <f t="shared" si="11"/>
        <v>20030093101</v>
      </c>
      <c r="M106" s="41">
        <v>0</v>
      </c>
      <c r="N106" s="41"/>
      <c r="O106" s="41"/>
      <c r="P106" s="64" t="s">
        <v>460</v>
      </c>
      <c r="Q106" s="64">
        <v>5158185</v>
      </c>
      <c r="R106" s="80">
        <v>45047</v>
      </c>
      <c r="S106" s="64">
        <v>16000</v>
      </c>
      <c r="T106" s="41">
        <v>1</v>
      </c>
      <c r="U106" s="41">
        <v>1</v>
      </c>
      <c r="V106" s="41" t="s">
        <v>279</v>
      </c>
      <c r="W106" s="41">
        <v>20</v>
      </c>
      <c r="X106" s="82">
        <v>20</v>
      </c>
      <c r="Y106" s="82">
        <v>20</v>
      </c>
      <c r="Z106" s="41" t="s">
        <v>479</v>
      </c>
      <c r="AA106" s="65" t="s">
        <v>480</v>
      </c>
      <c r="AB106" s="66" t="s">
        <v>481</v>
      </c>
      <c r="AC106" s="41" t="s">
        <v>399</v>
      </c>
      <c r="AD106" s="69">
        <v>13.9276514838237</v>
      </c>
      <c r="AE106" s="69">
        <v>75.583164926933506</v>
      </c>
      <c r="AF106" s="68" t="str">
        <f t="shared" si="12"/>
        <v>http://maps.google.com/maps?q=loc:13.9276514838237,75.5831649269335</v>
      </c>
    </row>
    <row r="107" spans="1:32">
      <c r="A107" s="41" t="s">
        <v>488</v>
      </c>
      <c r="B107" s="11" t="s">
        <v>171</v>
      </c>
      <c r="C107" s="11">
        <v>106</v>
      </c>
      <c r="D107" s="88"/>
      <c r="E107" s="17" t="s">
        <v>489</v>
      </c>
      <c r="F107" s="37" t="s">
        <v>5</v>
      </c>
      <c r="G107" s="88" t="s">
        <v>468</v>
      </c>
      <c r="H107" s="83">
        <v>180101</v>
      </c>
      <c r="I107" s="11">
        <v>100</v>
      </c>
      <c r="J107" s="57" t="str">
        <f t="shared" si="13"/>
        <v>110/11KV MRS</v>
      </c>
      <c r="K107" s="57" t="s">
        <v>404</v>
      </c>
      <c r="L107" s="57" t="str">
        <f t="shared" si="11"/>
        <v>20030093101</v>
      </c>
      <c r="M107" s="41">
        <v>0</v>
      </c>
      <c r="N107" s="41"/>
      <c r="O107" s="41"/>
      <c r="P107" s="64" t="s">
        <v>490</v>
      </c>
      <c r="Q107" s="64"/>
      <c r="R107" s="80"/>
      <c r="S107" s="64"/>
      <c r="T107" s="41" t="s">
        <v>490</v>
      </c>
      <c r="U107" s="41" t="s">
        <v>490</v>
      </c>
      <c r="V107" s="41" t="s">
        <v>490</v>
      </c>
      <c r="W107" s="41" t="s">
        <v>490</v>
      </c>
      <c r="X107" s="82" t="s">
        <v>490</v>
      </c>
      <c r="Y107" s="82" t="s">
        <v>490</v>
      </c>
      <c r="Z107" s="41"/>
      <c r="AA107" s="65"/>
      <c r="AB107" s="66"/>
      <c r="AC107" s="41"/>
      <c r="AD107" s="69">
        <v>13.926850699999999</v>
      </c>
      <c r="AE107" s="69">
        <v>75.577556200000004</v>
      </c>
      <c r="AF107" s="68" t="str">
        <f t="shared" si="12"/>
        <v>http://maps.google.com/maps?q=loc:13.9268507,75.5775562</v>
      </c>
    </row>
    <row r="108" spans="1:32">
      <c r="A108" s="41" t="s">
        <v>491</v>
      </c>
      <c r="B108" s="11" t="s">
        <v>171</v>
      </c>
      <c r="C108" s="11">
        <v>107</v>
      </c>
      <c r="D108" s="88"/>
      <c r="E108" s="17" t="s">
        <v>495</v>
      </c>
      <c r="F108" s="37" t="s">
        <v>239</v>
      </c>
      <c r="G108" s="92" t="s">
        <v>470</v>
      </c>
      <c r="H108" s="83">
        <v>100</v>
      </c>
      <c r="I108" s="11">
        <v>100</v>
      </c>
      <c r="J108" s="57" t="str">
        <f t="shared" si="13"/>
        <v>110/11KV MANDLI</v>
      </c>
      <c r="K108" s="57" t="s">
        <v>404</v>
      </c>
      <c r="L108" s="57"/>
      <c r="M108" s="41"/>
      <c r="N108" s="41"/>
      <c r="O108" s="41"/>
      <c r="P108" s="64"/>
      <c r="Q108" s="64"/>
      <c r="R108" s="80"/>
      <c r="S108" s="64"/>
      <c r="T108" s="41"/>
      <c r="U108" s="41"/>
      <c r="V108" s="41"/>
      <c r="W108" s="41"/>
      <c r="X108" s="82"/>
      <c r="Y108" s="82"/>
      <c r="Z108" s="41"/>
      <c r="AA108" s="65"/>
      <c r="AB108" s="66"/>
      <c r="AC108" s="41"/>
      <c r="AD108" s="69">
        <v>13.925724826883901</v>
      </c>
      <c r="AE108" s="69">
        <v>75.5726491309333</v>
      </c>
      <c r="AF108" s="68" t="str">
        <f t="shared" si="12"/>
        <v>http://maps.google.com/maps?q=loc:13.9257248268839,75.5726491309333</v>
      </c>
    </row>
    <row r="109" spans="1:32">
      <c r="A109" s="41" t="s">
        <v>492</v>
      </c>
      <c r="B109" s="11" t="s">
        <v>171</v>
      </c>
      <c r="C109" s="11">
        <v>108</v>
      </c>
      <c r="D109" s="88"/>
      <c r="E109" s="96" t="s">
        <v>498</v>
      </c>
      <c r="F109" s="37" t="s">
        <v>239</v>
      </c>
      <c r="G109" s="92" t="s">
        <v>470</v>
      </c>
      <c r="H109" s="83">
        <v>100</v>
      </c>
      <c r="I109" s="11">
        <v>100</v>
      </c>
      <c r="J109" s="57" t="str">
        <f t="shared" si="13"/>
        <v>110/11KV MANDLI</v>
      </c>
      <c r="K109" s="57" t="s">
        <v>404</v>
      </c>
      <c r="L109" s="57"/>
      <c r="M109" s="41"/>
      <c r="N109" s="41"/>
      <c r="O109" s="41"/>
      <c r="P109" s="64"/>
      <c r="Q109" s="64"/>
      <c r="R109" s="80"/>
      <c r="S109" s="64"/>
      <c r="T109" s="41"/>
      <c r="U109" s="41"/>
      <c r="V109" s="41"/>
      <c r="W109" s="41"/>
      <c r="X109" s="82"/>
      <c r="Y109" s="82"/>
      <c r="Z109" s="41"/>
      <c r="AA109" s="65"/>
      <c r="AB109" s="66"/>
      <c r="AC109" s="41"/>
      <c r="AD109" s="69">
        <v>13.9252494742768</v>
      </c>
      <c r="AE109" s="69">
        <v>75.575118491014805</v>
      </c>
      <c r="AF109" s="68" t="str">
        <f t="shared" si="12"/>
        <v>http://maps.google.com/maps?q=loc:13.9252494742768,75.5751184910148</v>
      </c>
    </row>
    <row r="110" spans="1:32">
      <c r="A110" s="41" t="s">
        <v>493</v>
      </c>
      <c r="B110" s="11" t="s">
        <v>171</v>
      </c>
      <c r="C110" s="11">
        <v>109</v>
      </c>
      <c r="D110" s="88"/>
      <c r="E110" s="17" t="s">
        <v>497</v>
      </c>
      <c r="F110" s="37" t="s">
        <v>5</v>
      </c>
      <c r="G110" s="88" t="s">
        <v>468</v>
      </c>
      <c r="H110" s="83">
        <v>100</v>
      </c>
      <c r="I110" s="11">
        <v>100</v>
      </c>
      <c r="J110" s="57" t="str">
        <f t="shared" si="13"/>
        <v>110/11KV MRS</v>
      </c>
      <c r="K110" s="57" t="s">
        <v>404</v>
      </c>
      <c r="L110" s="57"/>
      <c r="M110" s="41"/>
      <c r="N110" s="41"/>
      <c r="O110" s="41"/>
      <c r="P110" s="64"/>
      <c r="Q110" s="64"/>
      <c r="R110" s="80"/>
      <c r="S110" s="64"/>
      <c r="T110" s="41"/>
      <c r="U110" s="41"/>
      <c r="V110" s="41"/>
      <c r="W110" s="41"/>
      <c r="X110" s="82"/>
      <c r="Y110" s="82"/>
      <c r="Z110" s="41"/>
      <c r="AA110" s="65"/>
      <c r="AB110" s="66"/>
      <c r="AC110" s="41"/>
      <c r="AD110" s="69">
        <v>13.9276029558508</v>
      </c>
      <c r="AE110" s="69">
        <v>75.581253295032894</v>
      </c>
      <c r="AF110" s="68" t="str">
        <f t="shared" si="12"/>
        <v>http://maps.google.com/maps?q=loc:13.9276029558508,75.5812532950329</v>
      </c>
    </row>
    <row r="111" spans="1:32" ht="25.5">
      <c r="A111" s="41" t="s">
        <v>494</v>
      </c>
      <c r="B111" s="11" t="s">
        <v>171</v>
      </c>
      <c r="C111" s="11">
        <v>110</v>
      </c>
      <c r="D111" s="88"/>
      <c r="E111" s="17" t="s">
        <v>496</v>
      </c>
      <c r="F111" s="37" t="s">
        <v>5</v>
      </c>
      <c r="G111" s="88" t="s">
        <v>468</v>
      </c>
      <c r="H111" s="83">
        <v>100</v>
      </c>
      <c r="I111" s="11">
        <v>100</v>
      </c>
      <c r="J111" s="57" t="str">
        <f t="shared" si="13"/>
        <v>110/11KV MRS</v>
      </c>
      <c r="K111" s="57" t="s">
        <v>404</v>
      </c>
      <c r="L111" s="57"/>
      <c r="M111" s="41"/>
      <c r="N111" s="41"/>
      <c r="O111" s="41"/>
      <c r="P111" s="64"/>
      <c r="Q111" s="64"/>
      <c r="R111" s="80"/>
      <c r="S111" s="64"/>
      <c r="T111" s="41"/>
      <c r="U111" s="41"/>
      <c r="V111" s="41"/>
      <c r="W111" s="41"/>
      <c r="X111" s="82"/>
      <c r="Y111" s="82"/>
      <c r="Z111" s="41"/>
      <c r="AA111" s="65"/>
      <c r="AB111" s="66"/>
      <c r="AC111" s="41"/>
      <c r="AD111" s="69">
        <v>13.9290677010182</v>
      </c>
      <c r="AE111" s="69">
        <v>75.586164091479205</v>
      </c>
      <c r="AF111" s="68" t="str">
        <f t="shared" si="12"/>
        <v>http://maps.google.com/maps?q=loc:13.9290677010182,75.5861640914792</v>
      </c>
    </row>
    <row r="112" spans="1:32">
      <c r="A112" s="41" t="s">
        <v>500</v>
      </c>
      <c r="B112" s="11" t="s">
        <v>171</v>
      </c>
      <c r="C112" s="11">
        <v>111</v>
      </c>
      <c r="D112" s="88"/>
      <c r="E112" s="17" t="s">
        <v>502</v>
      </c>
      <c r="F112" s="37" t="s">
        <v>239</v>
      </c>
      <c r="G112" s="88" t="s">
        <v>470</v>
      </c>
      <c r="H112" s="83">
        <v>63</v>
      </c>
      <c r="I112" s="11">
        <v>63</v>
      </c>
      <c r="J112" s="57" t="str">
        <f t="shared" si="13"/>
        <v>110/11KV MANDLI</v>
      </c>
      <c r="K112" s="57" t="s">
        <v>403</v>
      </c>
      <c r="L112" s="57"/>
      <c r="M112" s="41"/>
      <c r="N112" s="41"/>
      <c r="O112" s="41"/>
      <c r="P112" s="64"/>
      <c r="Q112" s="64"/>
      <c r="R112" s="80"/>
      <c r="S112" s="64"/>
      <c r="T112" s="41"/>
      <c r="U112" s="41"/>
      <c r="V112" s="41"/>
      <c r="W112" s="41"/>
      <c r="X112" s="82"/>
      <c r="Y112" s="82"/>
      <c r="Z112" s="41"/>
      <c r="AA112" s="65"/>
      <c r="AB112" s="66"/>
      <c r="AC112" s="41"/>
      <c r="AD112" s="69">
        <v>13.9290105534335</v>
      </c>
      <c r="AE112" s="69">
        <v>75.574496549115196</v>
      </c>
      <c r="AF112" s="68" t="str">
        <f t="shared" si="12"/>
        <v>http://maps.google.com/maps?q=loc:13.9290105534335,75.5744965491152</v>
      </c>
    </row>
    <row r="113" spans="1:32">
      <c r="A113" s="41" t="s">
        <v>501</v>
      </c>
      <c r="B113" s="11" t="s">
        <v>171</v>
      </c>
      <c r="C113" s="11">
        <v>112</v>
      </c>
      <c r="D113" s="88"/>
      <c r="E113" s="17" t="s">
        <v>503</v>
      </c>
      <c r="F113" s="37" t="s">
        <v>239</v>
      </c>
      <c r="G113" s="88" t="s">
        <v>470</v>
      </c>
      <c r="H113" s="83">
        <v>63</v>
      </c>
      <c r="I113" s="11">
        <v>63</v>
      </c>
      <c r="J113" s="57" t="str">
        <f t="shared" si="13"/>
        <v>110/11KV MANDLI</v>
      </c>
      <c r="K113" s="57" t="s">
        <v>403</v>
      </c>
      <c r="L113" s="57"/>
      <c r="M113" s="41"/>
      <c r="N113" s="41"/>
      <c r="O113" s="41"/>
      <c r="P113" s="64"/>
      <c r="Q113" s="64"/>
      <c r="R113" s="80"/>
      <c r="S113" s="64"/>
      <c r="T113" s="41"/>
      <c r="U113" s="41"/>
      <c r="V113" s="41"/>
      <c r="W113" s="41"/>
      <c r="X113" s="82"/>
      <c r="Y113" s="82"/>
      <c r="Z113" s="41"/>
      <c r="AA113" s="65"/>
      <c r="AB113" s="66"/>
      <c r="AC113" s="41"/>
      <c r="AD113" s="69">
        <v>13.9291404371581</v>
      </c>
      <c r="AE113" s="69">
        <v>75.574453434706399</v>
      </c>
      <c r="AF113" s="68" t="str">
        <f t="shared" si="12"/>
        <v>http://maps.google.com/maps?q=loc:13.9291404371581,75.5744534347064</v>
      </c>
    </row>
    <row r="114" spans="1:32" ht="25.5">
      <c r="A114" s="41" t="s">
        <v>504</v>
      </c>
      <c r="B114" s="11" t="s">
        <v>171</v>
      </c>
      <c r="C114" s="11">
        <v>113</v>
      </c>
      <c r="D114" s="88"/>
      <c r="E114" s="17" t="s">
        <v>505</v>
      </c>
      <c r="F114" s="37" t="s">
        <v>5</v>
      </c>
      <c r="G114" s="88" t="s">
        <v>468</v>
      </c>
      <c r="H114" s="83"/>
      <c r="I114" s="11">
        <v>100</v>
      </c>
      <c r="J114" s="57" t="str">
        <f t="shared" si="13"/>
        <v>110/11KV MRS</v>
      </c>
      <c r="K114" s="57" t="s">
        <v>403</v>
      </c>
      <c r="L114" s="57"/>
      <c r="M114" s="41"/>
      <c r="N114" s="41"/>
      <c r="O114" s="41"/>
      <c r="P114" s="64"/>
      <c r="Q114" s="64"/>
      <c r="R114" s="80"/>
      <c r="S114" s="64"/>
      <c r="T114" s="41"/>
      <c r="U114" s="41"/>
      <c r="V114" s="41"/>
      <c r="W114" s="41"/>
      <c r="X114" s="82"/>
      <c r="Y114" s="82"/>
      <c r="Z114" s="41"/>
      <c r="AA114" s="65"/>
      <c r="AB114" s="66"/>
      <c r="AC114" s="41"/>
      <c r="AD114" s="69">
        <v>13.930465134953099</v>
      </c>
      <c r="AE114" s="69">
        <v>75.578961653414595</v>
      </c>
      <c r="AF114" s="68" t="str">
        <f t="shared" si="12"/>
        <v>http://maps.google.com/maps?q=loc:13.9304651349531,75.5789616534146</v>
      </c>
    </row>
    <row r="115" spans="1:32">
      <c r="A115" s="41" t="s">
        <v>214</v>
      </c>
      <c r="B115" s="41" t="s">
        <v>255</v>
      </c>
      <c r="C115" s="8">
        <v>3</v>
      </c>
      <c r="D115" s="88" t="e">
        <f>VLOOKUP(A115,[1]dtlms!$L:$N,3,0)</f>
        <v>#N/A</v>
      </c>
      <c r="E115" s="41" t="s">
        <v>244</v>
      </c>
      <c r="F115" s="40" t="s">
        <v>241</v>
      </c>
      <c r="G115" s="93" t="s">
        <v>469</v>
      </c>
      <c r="H115" s="36">
        <v>180413</v>
      </c>
      <c r="I115" s="40">
        <v>250</v>
      </c>
      <c r="J115" s="41" t="str">
        <f>IF(F115="MRS F1","110/11KV MRS","110/11KV MANDLI")</f>
        <v>110/11KV MANDLI</v>
      </c>
      <c r="K115" s="57" t="s">
        <v>404</v>
      </c>
      <c r="L115" s="57" t="str">
        <f t="shared" ref="L115:L120" si="14">VLOOKUP(F115,$AH$1:$AI$14,2,0)</f>
        <v>20030093118</v>
      </c>
      <c r="M115" s="41" t="s">
        <v>269</v>
      </c>
      <c r="N115" s="41"/>
      <c r="O115" s="41"/>
      <c r="P115" s="41"/>
      <c r="Q115" s="41"/>
      <c r="R115" s="81"/>
      <c r="S115" s="41"/>
      <c r="T115" s="41"/>
      <c r="U115" s="41"/>
      <c r="V115" s="41"/>
      <c r="W115" s="41"/>
      <c r="X115" s="82"/>
      <c r="Y115" s="82">
        <v>1</v>
      </c>
      <c r="Z115" s="41"/>
      <c r="AA115" s="65"/>
      <c r="AB115" s="66"/>
      <c r="AC115" s="41"/>
      <c r="AD115" s="40"/>
      <c r="AE115" s="40"/>
      <c r="AF115" s="68"/>
    </row>
    <row r="116" spans="1:32">
      <c r="A116" s="41" t="s">
        <v>213</v>
      </c>
      <c r="B116" s="41" t="s">
        <v>255</v>
      </c>
      <c r="C116" s="8">
        <v>5</v>
      </c>
      <c r="D116" s="88" t="e">
        <f>VLOOKUP(A116,[1]dtlms!$L:$N,3,0)</f>
        <v>#N/A</v>
      </c>
      <c r="E116" s="41" t="s">
        <v>215</v>
      </c>
      <c r="F116" s="40" t="s">
        <v>241</v>
      </c>
      <c r="G116" s="93" t="s">
        <v>469</v>
      </c>
      <c r="H116" s="36">
        <v>180413</v>
      </c>
      <c r="I116" s="40">
        <v>250</v>
      </c>
      <c r="J116" s="41" t="str">
        <f t="shared" ref="J116:J120" si="15">IF(F116="MRS F1","110/11KV MRS","110/11KV MANDLI")</f>
        <v>110/11KV MANDLI</v>
      </c>
      <c r="K116" s="57" t="s">
        <v>404</v>
      </c>
      <c r="L116" s="57" t="str">
        <f t="shared" si="14"/>
        <v>20030093118</v>
      </c>
      <c r="M116" s="41" t="s">
        <v>270</v>
      </c>
      <c r="N116" s="41"/>
      <c r="O116" s="41"/>
      <c r="P116" s="41"/>
      <c r="Q116" s="41"/>
      <c r="R116" s="81"/>
      <c r="S116" s="41"/>
      <c r="T116" s="41"/>
      <c r="U116" s="41"/>
      <c r="V116" s="41"/>
      <c r="W116" s="41"/>
      <c r="X116" s="82"/>
      <c r="Y116" s="82">
        <v>1</v>
      </c>
      <c r="Z116" s="41"/>
      <c r="AA116" s="61"/>
      <c r="AB116" s="41"/>
      <c r="AC116" s="41"/>
      <c r="AD116" s="40"/>
      <c r="AE116" s="40"/>
      <c r="AF116" s="68"/>
    </row>
    <row r="117" spans="1:32">
      <c r="A117" s="41" t="s">
        <v>249</v>
      </c>
      <c r="B117" s="41" t="s">
        <v>255</v>
      </c>
      <c r="C117" s="8">
        <v>94</v>
      </c>
      <c r="D117" s="88" t="e">
        <f>VLOOKUP(A117,[1]dtlms!$L:$N,3,0)</f>
        <v>#N/A</v>
      </c>
      <c r="E117" s="41" t="s">
        <v>251</v>
      </c>
      <c r="F117" s="40" t="s">
        <v>239</v>
      </c>
      <c r="G117" s="93" t="s">
        <v>470</v>
      </c>
      <c r="H117" s="36">
        <v>180420</v>
      </c>
      <c r="I117" s="41">
        <v>250</v>
      </c>
      <c r="J117" s="41" t="str">
        <f t="shared" si="15"/>
        <v>110/11KV MANDLI</v>
      </c>
      <c r="K117" s="57" t="s">
        <v>404</v>
      </c>
      <c r="L117" s="57">
        <f t="shared" si="14"/>
        <v>0</v>
      </c>
      <c r="M117" s="41">
        <v>0</v>
      </c>
      <c r="N117" s="41"/>
      <c r="O117" s="41"/>
      <c r="P117" s="41"/>
      <c r="Q117" s="41"/>
      <c r="R117" s="81"/>
      <c r="S117" s="41"/>
      <c r="T117" s="41"/>
      <c r="U117" s="41"/>
      <c r="V117" s="41"/>
      <c r="W117" s="41"/>
      <c r="X117" s="82"/>
      <c r="Y117" s="82"/>
      <c r="Z117" s="41"/>
      <c r="AA117" s="61"/>
      <c r="AB117" s="41"/>
      <c r="AC117" s="41"/>
      <c r="AD117" s="40"/>
      <c r="AE117" s="40"/>
      <c r="AF117" s="68"/>
    </row>
    <row r="118" spans="1:32">
      <c r="A118" s="41" t="s">
        <v>250</v>
      </c>
      <c r="B118" s="41" t="s">
        <v>255</v>
      </c>
      <c r="C118" s="8">
        <v>112</v>
      </c>
      <c r="D118" s="88" t="e">
        <f>VLOOKUP(A118,[1]dtlms!$L:$N,3,0)</f>
        <v>#N/A</v>
      </c>
      <c r="E118" s="41" t="s">
        <v>252</v>
      </c>
      <c r="F118" s="40" t="s">
        <v>239</v>
      </c>
      <c r="G118" s="93" t="s">
        <v>470</v>
      </c>
      <c r="H118" s="36">
        <v>180420</v>
      </c>
      <c r="I118" s="41">
        <v>63</v>
      </c>
      <c r="J118" s="41" t="str">
        <f t="shared" si="15"/>
        <v>110/11KV MANDLI</v>
      </c>
      <c r="K118" s="57" t="s">
        <v>404</v>
      </c>
      <c r="L118" s="57">
        <f t="shared" si="14"/>
        <v>0</v>
      </c>
      <c r="M118" s="41">
        <v>0</v>
      </c>
      <c r="N118" s="41"/>
      <c r="O118" s="41"/>
      <c r="P118" s="41"/>
      <c r="Q118" s="41"/>
      <c r="R118" s="81"/>
      <c r="S118" s="41"/>
      <c r="T118" s="41"/>
      <c r="U118" s="41"/>
      <c r="V118" s="41"/>
      <c r="W118" s="41"/>
      <c r="X118" s="82"/>
      <c r="Y118" s="82"/>
      <c r="Z118" s="41"/>
      <c r="AA118" s="61"/>
      <c r="AB118" s="41"/>
      <c r="AC118" s="41"/>
      <c r="AD118" s="40"/>
      <c r="AE118" s="40"/>
      <c r="AF118" s="68"/>
    </row>
    <row r="119" spans="1:32">
      <c r="A119" s="41" t="s">
        <v>245</v>
      </c>
      <c r="B119" s="41" t="s">
        <v>255</v>
      </c>
      <c r="C119" s="8">
        <v>140</v>
      </c>
      <c r="D119" s="88" t="e">
        <f>VLOOKUP(A119,[1]dtlms!$L:$N,3,0)</f>
        <v>#N/A</v>
      </c>
      <c r="E119" s="41" t="s">
        <v>246</v>
      </c>
      <c r="F119" s="40" t="s">
        <v>239</v>
      </c>
      <c r="G119" s="93" t="s">
        <v>470</v>
      </c>
      <c r="H119" s="36">
        <v>180420</v>
      </c>
      <c r="I119" s="40">
        <v>100</v>
      </c>
      <c r="J119" s="41" t="str">
        <f t="shared" si="15"/>
        <v>110/11KV MANDLI</v>
      </c>
      <c r="K119" s="57" t="s">
        <v>404</v>
      </c>
      <c r="L119" s="57">
        <f t="shared" si="14"/>
        <v>0</v>
      </c>
      <c r="M119" s="41">
        <v>0</v>
      </c>
      <c r="N119" s="41"/>
      <c r="O119" s="41"/>
      <c r="P119" s="41"/>
      <c r="Q119" s="41"/>
      <c r="R119" s="81"/>
      <c r="S119" s="41"/>
      <c r="T119" s="41"/>
      <c r="U119" s="41"/>
      <c r="V119" s="41"/>
      <c r="W119" s="41"/>
      <c r="X119" s="82"/>
      <c r="Y119" s="82" t="s">
        <v>284</v>
      </c>
      <c r="Z119" s="41"/>
      <c r="AA119" s="61"/>
      <c r="AB119" s="41"/>
      <c r="AC119" s="41"/>
      <c r="AD119" s="40"/>
      <c r="AE119" s="40"/>
      <c r="AF119" s="68"/>
    </row>
    <row r="120" spans="1:32">
      <c r="A120" s="41" t="s">
        <v>247</v>
      </c>
      <c r="B120" s="41" t="s">
        <v>256</v>
      </c>
      <c r="C120" s="8">
        <v>3</v>
      </c>
      <c r="D120" s="88" t="e">
        <f>VLOOKUP(A120,[1]dtlms!$L:$N,3,0)</f>
        <v>#N/A</v>
      </c>
      <c r="E120" s="41" t="s">
        <v>248</v>
      </c>
      <c r="F120" s="40" t="s">
        <v>242</v>
      </c>
      <c r="G120" s="93" t="s">
        <v>471</v>
      </c>
      <c r="H120" s="36">
        <v>180403</v>
      </c>
      <c r="I120" s="40">
        <v>250</v>
      </c>
      <c r="J120" s="41" t="str">
        <f t="shared" si="15"/>
        <v>110/11KV MANDLI</v>
      </c>
      <c r="K120" s="57" t="s">
        <v>404</v>
      </c>
      <c r="L120" s="57" t="str">
        <f t="shared" si="14"/>
        <v>20030093123</v>
      </c>
      <c r="M120" s="41" t="s">
        <v>271</v>
      </c>
      <c r="N120" s="41"/>
      <c r="O120" s="41"/>
      <c r="P120" s="41"/>
      <c r="Q120" s="41"/>
      <c r="R120" s="81"/>
      <c r="S120" s="41"/>
      <c r="T120" s="41"/>
      <c r="U120" s="41"/>
      <c r="V120" s="41"/>
      <c r="W120" s="41"/>
      <c r="X120" s="82"/>
      <c r="Y120" s="82">
        <v>1</v>
      </c>
      <c r="Z120" s="41"/>
      <c r="AA120" s="61"/>
      <c r="AB120" s="41"/>
      <c r="AC120" s="41"/>
      <c r="AD120" s="40"/>
      <c r="AE120" s="40"/>
      <c r="AF120" s="68"/>
    </row>
    <row r="130" spans="26:35">
      <c r="Z130" s="62"/>
      <c r="AA130" s="2"/>
      <c r="AC130" s="70"/>
      <c r="AE130" s="2"/>
      <c r="AI130"/>
    </row>
  </sheetData>
  <autoFilter ref="A1:AC120" xr:uid="{AFF2CE4F-2766-4E9A-A84F-CFD70718078C}"/>
  <mergeCells count="2">
    <mergeCell ref="AU10:AZ10"/>
    <mergeCell ref="AQ10:AR1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5508-7DF4-4DD3-8919-3BDF417C62B4}">
  <dimension ref="A1:D5"/>
  <sheetViews>
    <sheetView workbookViewId="0">
      <selection activeCell="B3" sqref="B3"/>
    </sheetView>
  </sheetViews>
  <sheetFormatPr defaultRowHeight="15"/>
  <cols>
    <col min="1" max="1" width="29.42578125" customWidth="1"/>
    <col min="2" max="3" width="14.5703125" bestFit="1" customWidth="1"/>
    <col min="4" max="4" width="63" bestFit="1" customWidth="1"/>
  </cols>
  <sheetData>
    <row r="1" spans="1:4" ht="47.25">
      <c r="A1" t="s">
        <v>507</v>
      </c>
      <c r="B1" s="74" t="s">
        <v>400</v>
      </c>
      <c r="C1" s="74" t="s">
        <v>401</v>
      </c>
      <c r="D1" s="74" t="s">
        <v>402</v>
      </c>
    </row>
    <row r="2" spans="1:4">
      <c r="A2" t="s">
        <v>506</v>
      </c>
      <c r="B2" s="69">
        <v>13.910278817391299</v>
      </c>
      <c r="C2" s="69">
        <v>75.595895502200506</v>
      </c>
      <c r="D2" s="68" t="str">
        <f t="shared" ref="D2" si="0">HYPERLINK("http://maps.google.com/maps?q=loc:"&amp;B2&amp;","&amp;C2)</f>
        <v>http://maps.google.com/maps?q=loc:13.9102788173913,75.5958955022005</v>
      </c>
    </row>
    <row r="3" spans="1:4">
      <c r="A3" t="s">
        <v>508</v>
      </c>
      <c r="B3">
        <v>13.917882489842199</v>
      </c>
      <c r="C3">
        <v>75.562761374180198</v>
      </c>
    </row>
    <row r="4" spans="1:4">
      <c r="A4" t="s">
        <v>509</v>
      </c>
      <c r="B4">
        <v>13.930494769031201</v>
      </c>
      <c r="C4">
        <v>75.5857587200545</v>
      </c>
    </row>
    <row r="5" spans="1:4">
      <c r="A5" t="s">
        <v>510</v>
      </c>
      <c r="B5">
        <v>13.9311828578246</v>
      </c>
      <c r="C5">
        <v>75.582701158311593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ALL</vt:lpstr>
      <vt:lpstr>NON DTC NODES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shyny</dc:creator>
  <cp:lastModifiedBy>SO SHIVAMOGGA UNIT-4 CSD-2</cp:lastModifiedBy>
  <cp:lastPrinted>2025-12-16T10:35:39Z</cp:lastPrinted>
  <dcterms:created xsi:type="dcterms:W3CDTF">2021-05-13T05:34:55Z</dcterms:created>
  <dcterms:modified xsi:type="dcterms:W3CDTF">2026-10-26T13:48:48Z</dcterms:modified>
</cp:coreProperties>
</file>